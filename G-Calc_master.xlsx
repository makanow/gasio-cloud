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codeName="ThisWorkbook" defaultThemeVersion="202300"/>
  <mc:AlternateContent xmlns:mc="http://schemas.openxmlformats.org/markup-compatibility/2006">
    <mc:Choice Requires="x15">
      <x15ac:absPath xmlns:x15ac="http://schemas.microsoft.com/office/spreadsheetml/2010/11/ac" url="/Users/nag/Library/Mobile Documents/com~apple~CloudDocs/【重要】Makanow/マカナウ/★ガスラボ/G-Calc cloud/"/>
    </mc:Choice>
  </mc:AlternateContent>
  <xr:revisionPtr revIDLastSave="0" documentId="13_ncr:1_{DE349D08-7909-C44A-A8A1-ACB708901D8C}" xr6:coauthVersionLast="47" xr6:coauthVersionMax="47" xr10:uidLastSave="{00000000-0000-0000-0000-000000000000}"/>
  <bookViews>
    <workbookView xWindow="29360" yWindow="600" windowWidth="35360" windowHeight="28520" activeTab="2" xr2:uid="{DF34602E-DE08-474C-98FE-2BF82EF25C2C}"/>
  </bookViews>
  <sheets>
    <sheet name="ナビ" sheetId="16" r:id="rId1"/>
    <sheet name="1_a" sheetId="1" r:id="rId2"/>
    <sheet name="1_b" sheetId="3" r:id="rId3"/>
    <sheet name="1_c" sheetId="4" r:id="rId4"/>
    <sheet name="2_a" sheetId="5" r:id="rId5"/>
    <sheet name="2_b" sheetId="9" r:id="rId6"/>
    <sheet name="2_c" sheetId="30" r:id="rId7"/>
    <sheet name="別表4,5" sheetId="29" r:id="rId8"/>
    <sheet name="変更内容" sheetId="31" r:id="rId9"/>
    <sheet name="レートメイク" sheetId="10" r:id="rId10"/>
    <sheet name="販売量" sheetId="15" r:id="rId11"/>
    <sheet name="土地" sheetId="17" r:id="rId12"/>
    <sheet name="償却資産" sheetId="18" r:id="rId13"/>
    <sheet name="車両" sheetId="22" r:id="rId14"/>
    <sheet name="道路占用料" sheetId="21" r:id="rId15"/>
    <sheet name="標準係数A" sheetId="13" r:id="rId16"/>
    <sheet name="標準係数B" sheetId="7" r:id="rId17"/>
    <sheet name="需要構成率" sheetId="14" r:id="rId18"/>
  </sheets>
  <definedNames>
    <definedName name="_Ａ" localSheetId="7">'別表4,5'!$D$31</definedName>
    <definedName name="_Ｂ" localSheetId="7">'別表4,5'!$D$32</definedName>
    <definedName name="_Ｃ" localSheetId="7">'別表4,5'!$D$33</definedName>
    <definedName name="_Ｄ" localSheetId="7">'別表4,5'!$D$34</definedName>
    <definedName name="_Ｅ" localSheetId="7">'別表4,5'!$D$36</definedName>
    <definedName name="_Ｆ" localSheetId="7">'別表4,5'!$D$37</definedName>
    <definedName name="_Ｇ" localSheetId="7">'別表4,5'!$D$38</definedName>
    <definedName name="_Ｈ" localSheetId="7">'別表4,5'!$D$39</definedName>
    <definedName name="_Hc" localSheetId="7">'別表4,5'!$G$39</definedName>
    <definedName name="_Hf" localSheetId="7">'別表4,5'!$J$39</definedName>
    <definedName name="_Hg" localSheetId="7">'別表4,5'!$K$39</definedName>
    <definedName name="_Ｉ" localSheetId="7">'別表4,5'!$D$40</definedName>
    <definedName name="_Ｊ" localSheetId="7">'別表4,5'!$D$41</definedName>
    <definedName name="_Ja" localSheetId="7">'別表4,5'!$E$41</definedName>
    <definedName name="_Jb" localSheetId="7">'別表4,5'!$F$41</definedName>
    <definedName name="_Jc" localSheetId="7">'別表4,5'!$G$41</definedName>
    <definedName name="_Jd" localSheetId="7">'別表4,5'!$H$41</definedName>
    <definedName name="_Je" localSheetId="7">'別表4,5'!$I$41</definedName>
    <definedName name="_Jf" localSheetId="7">'別表4,5'!$J$41</definedName>
    <definedName name="_Jg" localSheetId="7">'別表4,5'!$K$41</definedName>
    <definedName name="_Ｋ" localSheetId="7">'別表4,5'!$D$42</definedName>
    <definedName name="_Ｌ" localSheetId="7">'別表4,5'!$D$43</definedName>
    <definedName name="_Ｍ" localSheetId="7">'別表4,5'!$D$44</definedName>
    <definedName name="_Ma" localSheetId="7">'別表4,5'!$E$44</definedName>
    <definedName name="_Mb" localSheetId="7">'別表4,5'!$F$44</definedName>
    <definedName name="_Mc" localSheetId="7">'別表4,5'!$G$44</definedName>
    <definedName name="_Md" localSheetId="7">'別表4,5'!$H$44</definedName>
    <definedName name="_Me" localSheetId="7">'別表4,5'!$I$44</definedName>
    <definedName name="_Mf" localSheetId="7">'別表4,5'!$J$44</definedName>
    <definedName name="_Mg" localSheetId="7">'別表4,5'!$K$44</definedName>
    <definedName name="_Ｎ" localSheetId="7">'別表4,5'!$D$45</definedName>
    <definedName name="_Ｏ" localSheetId="7">'別表4,5'!$D$46</definedName>
    <definedName name="_P" localSheetId="7">'別表4,5'!$D$16</definedName>
    <definedName name="_PA" localSheetId="7">'別表4,5'!$D$7</definedName>
    <definedName name="_PB" localSheetId="7">'別表4,5'!$D$8</definedName>
    <definedName name="_PC" localSheetId="7">'別表4,5'!$D$9</definedName>
    <definedName name="_PD" localSheetId="7">'別表4,5'!$D$10</definedName>
    <definedName name="_PE" localSheetId="7">'別表4,5'!$D$11</definedName>
    <definedName name="_PF" localSheetId="7">'別表4,5'!$D$12</definedName>
    <definedName name="_PG" localSheetId="7">'別表4,5'!$D$13</definedName>
    <definedName name="_PH" localSheetId="7">'別表4,5'!$D$14</definedName>
    <definedName name="_PI" localSheetId="7">'別表4,5'!$D$15</definedName>
    <definedName name="_PP" localSheetId="7">'別表4,5'!$D$17</definedName>
    <definedName name="_Ｑ" localSheetId="7">'別表4,5'!$D$35</definedName>
    <definedName name="_V" localSheetId="7">'別表4,5'!$D$20</definedName>
    <definedName name="_W" localSheetId="7">'別表4,5'!$D$21</definedName>
    <definedName name="_Y" localSheetId="7">'別表4,5'!$D$24</definedName>
    <definedName name="_Z" localSheetId="7">'別表4,5'!$D$25</definedName>
    <definedName name="HKS">販売量!$C$5</definedName>
    <definedName name="KYN">販売量!$C$4</definedName>
    <definedName name="_xlnm.Print_Area" localSheetId="1">'1_a'!$A$2:$J$38</definedName>
    <definedName name="_xlnm.Print_Area" localSheetId="2">'1_b'!$A$2:$I$64</definedName>
    <definedName name="_xlnm.Print_Area" localSheetId="3">'1_c'!$A$2:$I$26</definedName>
    <definedName name="_xlnm.Print_Area" localSheetId="4">'2_a'!$A$2:$I$26</definedName>
    <definedName name="_xlnm.Print_Area" localSheetId="5">'2_b'!$B$2:$G$29</definedName>
    <definedName name="_xlnm.Print_Area" localSheetId="6">'2_c'!$B$2:$E$11</definedName>
    <definedName name="_xlnm.Print_Area" localSheetId="0">ナビ!$A$1:$Q$27</definedName>
    <definedName name="_xlnm.Print_Area" localSheetId="9">レートメイク!$A$1:$G$31</definedName>
    <definedName name="_xlnm.Print_Area" localSheetId="13">車両!$A$1:$L$13</definedName>
    <definedName name="_xlnm.Print_Area" localSheetId="17">需要構成率!$A$1:$J$145</definedName>
    <definedName name="_xlnm.Print_Area" localSheetId="12">償却資産!$A$1:$T$57</definedName>
    <definedName name="_xlnm.Print_Area" localSheetId="11">土地!$A$1:$P$16</definedName>
    <definedName name="_xlnm.Print_Area" localSheetId="14">道路占用料!$A$1:$F$9</definedName>
    <definedName name="_xlnm.Print_Area" localSheetId="10">販売量!$A$1:$V$12</definedName>
    <definedName name="_xlnm.Print_Area" localSheetId="15">標準係数A!$B$1:$AB$25</definedName>
    <definedName name="_xlnm.Print_Area" localSheetId="16">標準係数B!$A$1:$AH$51</definedName>
    <definedName name="_xlnm.Print_Area" localSheetId="7">'別表4,5'!$A$1:$N$57</definedName>
    <definedName name="_xlnm.Print_Area" localSheetId="8">変更内容!$B$1:$I$21,変更内容!$B$24:$I$41</definedName>
    <definedName name="_xlnm.Print_Titles" localSheetId="17">需要構成率!$2:$3</definedName>
    <definedName name="solver_adj" localSheetId="9" hidden="1">レートメイク!$O$5</definedName>
    <definedName name="solver_cvg" localSheetId="9" hidden="1">0.0001</definedName>
    <definedName name="solver_drv" localSheetId="9" hidden="1">1</definedName>
    <definedName name="solver_eng" localSheetId="9" hidden="1">1</definedName>
    <definedName name="solver_itr" localSheetId="9" hidden="1">2147483647</definedName>
    <definedName name="solver_lhs1" localSheetId="9" hidden="1">レートメイク!$E$30</definedName>
    <definedName name="solver_lhs2" localSheetId="9" hidden="1">レートメイク!$E$30</definedName>
    <definedName name="solver_lin" localSheetId="9" hidden="1">2</definedName>
    <definedName name="solver_mip" localSheetId="9" hidden="1">2147483647</definedName>
    <definedName name="solver_mni" localSheetId="9" hidden="1">30</definedName>
    <definedName name="solver_mrt" localSheetId="9" hidden="1">0.075</definedName>
    <definedName name="solver_msl" localSheetId="9" hidden="1">2</definedName>
    <definedName name="solver_neg" localSheetId="9" hidden="1">1</definedName>
    <definedName name="solver_nod" localSheetId="9" hidden="1">2147483647</definedName>
    <definedName name="solver_num" localSheetId="9" hidden="1">2</definedName>
    <definedName name="solver_opt" localSheetId="9" hidden="1">レートメイク!$E$30</definedName>
    <definedName name="solver_pre" localSheetId="9" hidden="1">0.000001</definedName>
    <definedName name="solver_rbv" localSheetId="9" hidden="1">1</definedName>
    <definedName name="solver_rel1" localSheetId="9" hidden="1">1</definedName>
    <definedName name="solver_rel2" localSheetId="9" hidden="1">3</definedName>
    <definedName name="solver_rhs1" localSheetId="9" hidden="1">0</definedName>
    <definedName name="solver_rhs2" localSheetId="9" hidden="1">-1000</definedName>
    <definedName name="solver_rlx" localSheetId="9" hidden="1">2</definedName>
    <definedName name="solver_rsd" localSheetId="9" hidden="1">0</definedName>
    <definedName name="solver_scl" localSheetId="9" hidden="1">1</definedName>
    <definedName name="solver_sho" localSheetId="9" hidden="1">2</definedName>
    <definedName name="solver_ssz" localSheetId="9" hidden="1">100</definedName>
    <definedName name="solver_tim" localSheetId="9" hidden="1">2147483647</definedName>
    <definedName name="solver_tol" localSheetId="9" hidden="1">0.01</definedName>
    <definedName name="solver_typ" localSheetId="9" hidden="1">1</definedName>
    <definedName name="solver_val" localSheetId="9" hidden="1">0</definedName>
    <definedName name="solver_ver" localSheetId="9" hidden="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4" i="3" l="1"/>
  <c r="E1" i="21" l="1"/>
  <c r="K1" i="22"/>
  <c r="S1" i="18"/>
  <c r="O1" i="17"/>
  <c r="U1" i="15"/>
  <c r="G1" i="10"/>
  <c r="I2" i="31"/>
  <c r="M27" i="29"/>
  <c r="M1" i="29"/>
  <c r="E2" i="30"/>
  <c r="G2" i="9"/>
  <c r="H2" i="5"/>
  <c r="I29" i="3"/>
  <c r="H2" i="4"/>
  <c r="I2" i="1"/>
  <c r="I2" i="3"/>
  <c r="L15" i="3"/>
  <c r="L14" i="3"/>
  <c r="E40" i="31"/>
  <c r="E39" i="31"/>
  <c r="E38" i="31"/>
  <c r="E34" i="31"/>
  <c r="I9" i="31"/>
  <c r="I8" i="31"/>
  <c r="I7" i="31"/>
  <c r="H7" i="31"/>
  <c r="G9" i="31"/>
  <c r="G8" i="31"/>
  <c r="G7" i="31"/>
  <c r="F7" i="31"/>
  <c r="C9" i="31"/>
  <c r="E8" i="31"/>
  <c r="C8" i="31"/>
  <c r="E7" i="31"/>
  <c r="D11" i="16"/>
  <c r="C22" i="10" l="1"/>
  <c r="G26" i="18"/>
  <c r="D26" i="18"/>
  <c r="H26" i="18" s="1"/>
  <c r="M26" i="18" s="1"/>
  <c r="R26" i="18" s="1"/>
  <c r="G25" i="18"/>
  <c r="D25" i="18"/>
  <c r="I25" i="18" s="1"/>
  <c r="G24" i="18"/>
  <c r="D24" i="18"/>
  <c r="I24" i="18" s="1"/>
  <c r="G23" i="18"/>
  <c r="D23" i="18"/>
  <c r="H23" i="18" s="1"/>
  <c r="M23" i="18" s="1"/>
  <c r="G22" i="18"/>
  <c r="D22" i="18"/>
  <c r="I22" i="18" s="1"/>
  <c r="G21" i="18"/>
  <c r="D21" i="18"/>
  <c r="I21" i="18" s="1"/>
  <c r="P21" i="18" s="1"/>
  <c r="I20" i="18"/>
  <c r="G20" i="18"/>
  <c r="D20" i="18"/>
  <c r="G19" i="18"/>
  <c r="D19" i="18"/>
  <c r="H19" i="18" s="1"/>
  <c r="M19" i="18" s="1"/>
  <c r="R19" i="18" s="1"/>
  <c r="G18" i="18"/>
  <c r="D18" i="18"/>
  <c r="G17" i="18"/>
  <c r="D17" i="18"/>
  <c r="I17" i="18" s="1"/>
  <c r="G16" i="18"/>
  <c r="D16" i="18"/>
  <c r="I16" i="18" s="1"/>
  <c r="G15" i="18"/>
  <c r="D15" i="18"/>
  <c r="I15" i="18" s="1"/>
  <c r="G14" i="18"/>
  <c r="D14" i="18"/>
  <c r="I14" i="18" s="1"/>
  <c r="G13" i="18"/>
  <c r="D13" i="18"/>
  <c r="I13" i="18" s="1"/>
  <c r="G12" i="18"/>
  <c r="D12" i="18"/>
  <c r="I12" i="18" s="1"/>
  <c r="G11" i="18"/>
  <c r="D11" i="18"/>
  <c r="I11" i="18" s="1"/>
  <c r="G10" i="18"/>
  <c r="D10" i="18"/>
  <c r="I10" i="18" s="1"/>
  <c r="G9" i="18"/>
  <c r="D9" i="18"/>
  <c r="I9" i="18" s="1"/>
  <c r="P9" i="18" s="1"/>
  <c r="G8" i="18"/>
  <c r="D8" i="18"/>
  <c r="I8" i="18" s="1"/>
  <c r="P8" i="18" s="1"/>
  <c r="G7" i="18"/>
  <c r="D7" i="18"/>
  <c r="I7" i="18" s="1"/>
  <c r="P7" i="18" s="1"/>
  <c r="I6" i="18"/>
  <c r="P6" i="18" s="1"/>
  <c r="G6" i="18"/>
  <c r="D6" i="18"/>
  <c r="F8" i="4"/>
  <c r="I55" i="18"/>
  <c r="I54" i="18"/>
  <c r="I53" i="18"/>
  <c r="I52" i="18"/>
  <c r="I51" i="18"/>
  <c r="I50" i="18"/>
  <c r="I49" i="18"/>
  <c r="I48" i="18"/>
  <c r="I47" i="18"/>
  <c r="I46" i="18"/>
  <c r="I45" i="18"/>
  <c r="I44" i="18"/>
  <c r="I43" i="18"/>
  <c r="I42" i="18"/>
  <c r="I41" i="18"/>
  <c r="I40" i="18"/>
  <c r="I39" i="18"/>
  <c r="I38" i="18"/>
  <c r="I37" i="18"/>
  <c r="I36" i="18"/>
  <c r="I35" i="18"/>
  <c r="I34" i="18"/>
  <c r="I33" i="18"/>
  <c r="I32" i="18"/>
  <c r="I31" i="18"/>
  <c r="I30" i="18"/>
  <c r="I29" i="18"/>
  <c r="I28" i="18"/>
  <c r="I27" i="18"/>
  <c r="H21" i="18" l="1"/>
  <c r="M21" i="18" s="1"/>
  <c r="R21" i="18" s="1"/>
  <c r="H22" i="18"/>
  <c r="M22" i="18" s="1"/>
  <c r="Q22" i="18" s="1"/>
  <c r="I19" i="18"/>
  <c r="I26" i="18"/>
  <c r="I23" i="18"/>
  <c r="Q23" i="18"/>
  <c r="N23" i="18"/>
  <c r="R23" i="18"/>
  <c r="H24" i="18"/>
  <c r="M24" i="18" s="1"/>
  <c r="H25" i="18"/>
  <c r="M25" i="18" s="1"/>
  <c r="R25" i="18" s="1"/>
  <c r="H20" i="18"/>
  <c r="M20" i="18" s="1"/>
  <c r="R20" i="18" s="1"/>
  <c r="N26" i="18"/>
  <c r="S26" i="18" s="1"/>
  <c r="N19" i="18"/>
  <c r="P19" i="18" s="1"/>
  <c r="H18" i="18"/>
  <c r="M18" i="18" s="1"/>
  <c r="Q18" i="18" s="1"/>
  <c r="I18" i="18"/>
  <c r="H16" i="18"/>
  <c r="M16" i="18" s="1"/>
  <c r="R16" i="18" s="1"/>
  <c r="H15" i="18"/>
  <c r="M15" i="18" s="1"/>
  <c r="R15" i="18" s="1"/>
  <c r="H17" i="18"/>
  <c r="M17" i="18" s="1"/>
  <c r="Q17" i="18" s="1"/>
  <c r="H14" i="18"/>
  <c r="M14" i="18" s="1"/>
  <c r="Q14" i="18" s="1"/>
  <c r="H13" i="18"/>
  <c r="M13" i="18" s="1"/>
  <c r="Q13" i="18" s="1"/>
  <c r="H12" i="18"/>
  <c r="M12" i="18" s="1"/>
  <c r="Q12" i="18" s="1"/>
  <c r="H11" i="18"/>
  <c r="M11" i="18" s="1"/>
  <c r="Q11" i="18" s="1"/>
  <c r="H10" i="18"/>
  <c r="M10" i="18" s="1"/>
  <c r="Q10" i="18" s="1"/>
  <c r="H9" i="18"/>
  <c r="M9" i="18" s="1"/>
  <c r="R9" i="18" s="1"/>
  <c r="H8" i="18"/>
  <c r="M8" i="18" s="1"/>
  <c r="R8" i="18" s="1"/>
  <c r="H7" i="18"/>
  <c r="M7" i="18" s="1"/>
  <c r="R7" i="18" s="1"/>
  <c r="H6" i="18"/>
  <c r="M6" i="18" s="1"/>
  <c r="R6" i="18" s="1"/>
  <c r="Q19" i="18"/>
  <c r="Q26" i="18"/>
  <c r="B10" i="3"/>
  <c r="N21" i="18" l="1"/>
  <c r="Q21" i="18"/>
  <c r="S21" i="18"/>
  <c r="R22" i="18"/>
  <c r="N22" i="18"/>
  <c r="P22" i="18" s="1"/>
  <c r="O22" i="18" s="1"/>
  <c r="S23" i="18"/>
  <c r="P26" i="18"/>
  <c r="O26" i="18" s="1"/>
  <c r="P23" i="18"/>
  <c r="O23" i="18" s="1"/>
  <c r="R24" i="18"/>
  <c r="Q24" i="18"/>
  <c r="N24" i="18"/>
  <c r="P24" i="18" s="1"/>
  <c r="N25" i="18"/>
  <c r="Q25" i="18"/>
  <c r="R18" i="18"/>
  <c r="N18" i="18"/>
  <c r="P18" i="18" s="1"/>
  <c r="O18" i="18" s="1"/>
  <c r="Q20" i="18"/>
  <c r="N20" i="18"/>
  <c r="P20" i="18" s="1"/>
  <c r="O21" i="18"/>
  <c r="S19" i="18"/>
  <c r="O19" i="18"/>
  <c r="Q16" i="18"/>
  <c r="N16" i="18"/>
  <c r="S16" i="18" s="1"/>
  <c r="R17" i="18"/>
  <c r="N17" i="18"/>
  <c r="P17" i="18" s="1"/>
  <c r="Q15" i="18"/>
  <c r="N15" i="18"/>
  <c r="P15" i="18" s="1"/>
  <c r="R14" i="18"/>
  <c r="N14" i="18"/>
  <c r="P14" i="18" s="1"/>
  <c r="R13" i="18"/>
  <c r="N13" i="18"/>
  <c r="P13" i="18" s="1"/>
  <c r="R12" i="18"/>
  <c r="N12" i="18"/>
  <c r="P12" i="18" s="1"/>
  <c r="R11" i="18"/>
  <c r="N11" i="18"/>
  <c r="R10" i="18"/>
  <c r="N10" i="18"/>
  <c r="Q9" i="18"/>
  <c r="N9" i="18"/>
  <c r="S9" i="18" s="1"/>
  <c r="Q8" i="18"/>
  <c r="N8" i="18"/>
  <c r="Q7" i="18"/>
  <c r="N7" i="18"/>
  <c r="S7" i="18" s="1"/>
  <c r="Q6" i="18"/>
  <c r="N6" i="18"/>
  <c r="S6" i="18" s="1"/>
  <c r="C11" i="15"/>
  <c r="S22" i="18" l="1"/>
  <c r="S18" i="18"/>
  <c r="P16" i="18"/>
  <c r="O16" i="18" s="1"/>
  <c r="S25" i="18"/>
  <c r="P25" i="18"/>
  <c r="O25" i="18" s="1"/>
  <c r="S24" i="18"/>
  <c r="O24" i="18"/>
  <c r="S20" i="18"/>
  <c r="O20" i="18"/>
  <c r="S17" i="18"/>
  <c r="O17" i="18"/>
  <c r="S15" i="18"/>
  <c r="O15" i="18"/>
  <c r="P11" i="18"/>
  <c r="O11" i="18" s="1"/>
  <c r="P10" i="18"/>
  <c r="O10" i="18" s="1"/>
  <c r="O6" i="18"/>
  <c r="S14" i="18"/>
  <c r="O14" i="18"/>
  <c r="S13" i="18"/>
  <c r="O13" i="18"/>
  <c r="S12" i="18"/>
  <c r="O12" i="18"/>
  <c r="O9" i="18"/>
  <c r="S11" i="18"/>
  <c r="S10" i="18"/>
  <c r="S8" i="18"/>
  <c r="O8" i="18"/>
  <c r="O7" i="18"/>
  <c r="I39" i="29"/>
  <c r="O8" i="15"/>
  <c r="D25" i="29"/>
  <c r="D24" i="29"/>
  <c r="D21" i="29"/>
  <c r="D20" i="29"/>
  <c r="J22" i="10"/>
  <c r="L21" i="10"/>
  <c r="E35" i="31" s="1"/>
  <c r="J21" i="10"/>
  <c r="E21" i="10"/>
  <c r="F8" i="31" s="1"/>
  <c r="C21" i="10"/>
  <c r="K11" i="22"/>
  <c r="N11" i="15"/>
  <c r="I11" i="15"/>
  <c r="Q11" i="15"/>
  <c r="D7" i="21"/>
  <c r="D6" i="21"/>
  <c r="D4" i="22"/>
  <c r="C7" i="22" s="1"/>
  <c r="L22" i="10" l="1"/>
  <c r="H8" i="31"/>
  <c r="E22" i="10"/>
  <c r="F9" i="31" s="1"/>
  <c r="D7" i="22"/>
  <c r="E7" i="22"/>
  <c r="F7" i="22"/>
  <c r="J7" i="22"/>
  <c r="G7" i="22"/>
  <c r="H7" i="22"/>
  <c r="I7" i="22"/>
  <c r="H9" i="31" l="1"/>
  <c r="E36" i="31"/>
  <c r="J6" i="17"/>
  <c r="M6" i="17" s="1"/>
  <c r="I6" i="17"/>
  <c r="G6" i="17"/>
  <c r="D63" i="3"/>
  <c r="E46" i="3"/>
  <c r="D46" i="3"/>
  <c r="D25" i="4"/>
  <c r="D16" i="4"/>
  <c r="D12" i="4"/>
  <c r="D8" i="4"/>
  <c r="J9" i="22"/>
  <c r="J10" i="22" s="1"/>
  <c r="I9" i="22"/>
  <c r="I10" i="22" s="1"/>
  <c r="H9" i="22"/>
  <c r="H10" i="22" s="1"/>
  <c r="G9" i="22"/>
  <c r="G10" i="22" s="1"/>
  <c r="F9" i="22"/>
  <c r="F10" i="22" s="1"/>
  <c r="E9" i="22"/>
  <c r="E10" i="22" s="1"/>
  <c r="D9" i="22"/>
  <c r="D10" i="22" s="1"/>
  <c r="C9" i="22"/>
  <c r="C10" i="22" s="1"/>
  <c r="D57" i="3"/>
  <c r="G33" i="1"/>
  <c r="H2" i="18"/>
  <c r="C7" i="21"/>
  <c r="C6" i="21"/>
  <c r="N6" i="17" l="1"/>
  <c r="O6" i="17"/>
  <c r="E6" i="21"/>
  <c r="E7" i="21"/>
  <c r="K10" i="22" l="1"/>
  <c r="K12" i="22" s="1"/>
  <c r="E8" i="21"/>
  <c r="G50" i="3" s="1"/>
  <c r="E14" i="5" s="1"/>
  <c r="D35" i="29" s="1"/>
  <c r="H35" i="29" l="1"/>
  <c r="E11" i="9" s="1"/>
  <c r="H33" i="1"/>
  <c r="D40" i="3"/>
  <c r="E15" i="16"/>
  <c r="F37" i="3" s="1"/>
  <c r="B57" i="3" l="1"/>
  <c r="D15" i="29"/>
  <c r="J35" i="29"/>
  <c r="K35" i="29" s="1"/>
  <c r="D50" i="3"/>
  <c r="B50" i="3" s="1"/>
  <c r="D24" i="3" l="1"/>
  <c r="D14" i="3"/>
  <c r="L56" i="18" l="1"/>
  <c r="N55" i="18"/>
  <c r="S55" i="18" s="1"/>
  <c r="N54" i="18"/>
  <c r="S54" i="18" s="1"/>
  <c r="N53" i="18"/>
  <c r="S53" i="18" s="1"/>
  <c r="N52" i="18"/>
  <c r="S52" i="18" s="1"/>
  <c r="N51" i="18"/>
  <c r="S51" i="18" s="1"/>
  <c r="N50" i="18"/>
  <c r="S50" i="18" s="1"/>
  <c r="N49" i="18"/>
  <c r="S49" i="18" s="1"/>
  <c r="N48" i="18"/>
  <c r="S48" i="18" s="1"/>
  <c r="N47" i="18"/>
  <c r="S47" i="18" s="1"/>
  <c r="N46" i="18"/>
  <c r="S46" i="18" s="1"/>
  <c r="N45" i="18"/>
  <c r="S45" i="18" s="1"/>
  <c r="N44" i="18"/>
  <c r="S44" i="18" s="1"/>
  <c r="N43" i="18"/>
  <c r="S43" i="18" s="1"/>
  <c r="N42" i="18"/>
  <c r="S42" i="18" s="1"/>
  <c r="N41" i="18"/>
  <c r="S41" i="18" s="1"/>
  <c r="N40" i="18"/>
  <c r="S40" i="18" s="1"/>
  <c r="N39" i="18"/>
  <c r="S39" i="18" s="1"/>
  <c r="N38" i="18"/>
  <c r="S38" i="18" s="1"/>
  <c r="N37" i="18"/>
  <c r="S37" i="18" s="1"/>
  <c r="N36" i="18"/>
  <c r="S36" i="18" s="1"/>
  <c r="N35" i="18"/>
  <c r="S35" i="18" s="1"/>
  <c r="N34" i="18"/>
  <c r="S34" i="18" s="1"/>
  <c r="N33" i="18"/>
  <c r="S33" i="18" s="1"/>
  <c r="N32" i="18"/>
  <c r="S32" i="18" s="1"/>
  <c r="N31" i="18"/>
  <c r="S31" i="18" s="1"/>
  <c r="N30" i="18"/>
  <c r="S30" i="18" s="1"/>
  <c r="N29" i="18"/>
  <c r="S29" i="18" s="1"/>
  <c r="N28" i="18"/>
  <c r="S28" i="18" s="1"/>
  <c r="N27" i="18"/>
  <c r="S27" i="18" s="1"/>
  <c r="P55" i="18"/>
  <c r="O55" i="18"/>
  <c r="P54" i="18"/>
  <c r="O54" i="18"/>
  <c r="P53" i="18"/>
  <c r="O53" i="18"/>
  <c r="P52" i="18"/>
  <c r="O52" i="18"/>
  <c r="P51" i="18"/>
  <c r="O51" i="18"/>
  <c r="P50" i="18"/>
  <c r="O50" i="18"/>
  <c r="P49" i="18"/>
  <c r="O49" i="18"/>
  <c r="P48" i="18"/>
  <c r="O48" i="18"/>
  <c r="P47" i="18"/>
  <c r="O47" i="18"/>
  <c r="P46" i="18"/>
  <c r="O46" i="18"/>
  <c r="P45" i="18"/>
  <c r="O45" i="18"/>
  <c r="P44" i="18"/>
  <c r="O44" i="18"/>
  <c r="P43" i="18"/>
  <c r="O43" i="18"/>
  <c r="P42" i="18"/>
  <c r="O42" i="18"/>
  <c r="P41" i="18"/>
  <c r="O41" i="18"/>
  <c r="P40" i="18"/>
  <c r="O40" i="18"/>
  <c r="P39" i="18"/>
  <c r="O39" i="18"/>
  <c r="P38" i="18"/>
  <c r="O38" i="18"/>
  <c r="P37" i="18"/>
  <c r="O37" i="18"/>
  <c r="P36" i="18"/>
  <c r="O36" i="18"/>
  <c r="P35" i="18"/>
  <c r="O35" i="18"/>
  <c r="P34" i="18"/>
  <c r="O34" i="18"/>
  <c r="P33" i="18"/>
  <c r="O33" i="18"/>
  <c r="P32" i="18"/>
  <c r="O32" i="18"/>
  <c r="P31" i="18"/>
  <c r="O31" i="18"/>
  <c r="P30" i="18"/>
  <c r="O30" i="18"/>
  <c r="P29" i="18"/>
  <c r="O29" i="18"/>
  <c r="P28" i="18"/>
  <c r="O28" i="18"/>
  <c r="P27" i="18"/>
  <c r="O27" i="18"/>
  <c r="F33" i="1" l="1"/>
  <c r="M55" i="18" l="1"/>
  <c r="Q55" i="18" s="1"/>
  <c r="M54" i="18"/>
  <c r="Q54" i="18" s="1"/>
  <c r="M53" i="18"/>
  <c r="Q53" i="18" s="1"/>
  <c r="M52" i="18"/>
  <c r="Q52" i="18" s="1"/>
  <c r="M51" i="18"/>
  <c r="Q51" i="18" s="1"/>
  <c r="M50" i="18"/>
  <c r="Q50" i="18" s="1"/>
  <c r="M49" i="18"/>
  <c r="Q49" i="18" s="1"/>
  <c r="M48" i="18"/>
  <c r="Q48" i="18" s="1"/>
  <c r="M47" i="18"/>
  <c r="Q47" i="18" s="1"/>
  <c r="M46" i="18"/>
  <c r="Q46" i="18" s="1"/>
  <c r="M45" i="18"/>
  <c r="Q45" i="18" s="1"/>
  <c r="M44" i="18"/>
  <c r="Q44" i="18" s="1"/>
  <c r="M43" i="18"/>
  <c r="Q43" i="18" s="1"/>
  <c r="M42" i="18"/>
  <c r="Q42" i="18" s="1"/>
  <c r="M41" i="18"/>
  <c r="Q41" i="18" s="1"/>
  <c r="M40" i="18"/>
  <c r="Q40" i="18" s="1"/>
  <c r="M39" i="18"/>
  <c r="Q39" i="18" s="1"/>
  <c r="M38" i="18"/>
  <c r="Q38" i="18" s="1"/>
  <c r="M37" i="18"/>
  <c r="Q37" i="18" s="1"/>
  <c r="M36" i="18"/>
  <c r="Q36" i="18" s="1"/>
  <c r="M35" i="18"/>
  <c r="Q35" i="18" s="1"/>
  <c r="M34" i="18"/>
  <c r="Q34" i="18" s="1"/>
  <c r="M33" i="18"/>
  <c r="Q33" i="18" s="1"/>
  <c r="M32" i="18"/>
  <c r="Q32" i="18" s="1"/>
  <c r="M31" i="18"/>
  <c r="Q31" i="18" s="1"/>
  <c r="M30" i="18"/>
  <c r="Q30" i="18" s="1"/>
  <c r="M29" i="18"/>
  <c r="Q29" i="18" s="1"/>
  <c r="M28" i="18"/>
  <c r="Q28" i="18" s="1"/>
  <c r="M27" i="18"/>
  <c r="Q27" i="18" s="1"/>
  <c r="R54" i="18" l="1"/>
  <c r="R31" i="18"/>
  <c r="R41" i="18"/>
  <c r="R51" i="18"/>
  <c r="R53" i="18"/>
  <c r="R44" i="18"/>
  <c r="R45" i="18"/>
  <c r="R52" i="18"/>
  <c r="R43" i="18"/>
  <c r="R34" i="18"/>
  <c r="R32" i="18"/>
  <c r="R42" i="18"/>
  <c r="R55" i="18"/>
  <c r="R33" i="18"/>
  <c r="R35" i="18"/>
  <c r="R46" i="18"/>
  <c r="R37" i="18"/>
  <c r="R28" i="18"/>
  <c r="R38" i="18"/>
  <c r="R48" i="18"/>
  <c r="R36" i="18"/>
  <c r="R27" i="18"/>
  <c r="R29" i="18"/>
  <c r="R39" i="18"/>
  <c r="R49" i="18"/>
  <c r="R47" i="18"/>
  <c r="R30" i="18"/>
  <c r="R40" i="18"/>
  <c r="R50" i="18"/>
  <c r="G55" i="18" l="1"/>
  <c r="G54" i="18"/>
  <c r="G53" i="18"/>
  <c r="G52" i="18"/>
  <c r="G51" i="18"/>
  <c r="G50" i="18"/>
  <c r="G49" i="18"/>
  <c r="G48" i="18"/>
  <c r="G47" i="18"/>
  <c r="G46" i="18"/>
  <c r="G45" i="18"/>
  <c r="G44" i="18"/>
  <c r="G43" i="18"/>
  <c r="G42" i="18"/>
  <c r="G41" i="18"/>
  <c r="G40" i="18"/>
  <c r="G39" i="18"/>
  <c r="G38" i="18"/>
  <c r="G37" i="18"/>
  <c r="G36" i="18"/>
  <c r="G35" i="18"/>
  <c r="G34" i="18"/>
  <c r="G33" i="18"/>
  <c r="G32" i="18"/>
  <c r="G31" i="18"/>
  <c r="G30" i="18"/>
  <c r="G29" i="18"/>
  <c r="G28" i="18"/>
  <c r="G27" i="18"/>
  <c r="D55" i="18"/>
  <c r="D54" i="18"/>
  <c r="D53" i="18"/>
  <c r="D52" i="18"/>
  <c r="D51" i="18"/>
  <c r="D50" i="18"/>
  <c r="D49" i="18"/>
  <c r="D48" i="18"/>
  <c r="D47" i="18"/>
  <c r="D46" i="18"/>
  <c r="D45" i="18"/>
  <c r="D44" i="18"/>
  <c r="D43" i="18"/>
  <c r="D42" i="18"/>
  <c r="D41" i="18"/>
  <c r="D40" i="18"/>
  <c r="D39" i="18"/>
  <c r="D38" i="18"/>
  <c r="D37" i="18"/>
  <c r="D36" i="18"/>
  <c r="D35" i="18"/>
  <c r="D34" i="18"/>
  <c r="D33" i="18"/>
  <c r="D32" i="18"/>
  <c r="D31" i="18"/>
  <c r="D30" i="18"/>
  <c r="D29" i="18"/>
  <c r="D28" i="18"/>
  <c r="D27" i="18"/>
  <c r="H55" i="18"/>
  <c r="H54" i="18"/>
  <c r="H53" i="18"/>
  <c r="H52" i="18"/>
  <c r="H51" i="18"/>
  <c r="H50" i="18"/>
  <c r="H49" i="18"/>
  <c r="H48" i="18"/>
  <c r="H47" i="18"/>
  <c r="H46" i="18"/>
  <c r="H45" i="18"/>
  <c r="H44" i="18"/>
  <c r="H43" i="18"/>
  <c r="H42" i="18"/>
  <c r="H41" i="18"/>
  <c r="H40" i="18"/>
  <c r="H39" i="18"/>
  <c r="H38" i="18"/>
  <c r="H37" i="18"/>
  <c r="H36" i="18"/>
  <c r="H35" i="18"/>
  <c r="H34" i="18"/>
  <c r="H33" i="18"/>
  <c r="H32" i="18"/>
  <c r="H31" i="18"/>
  <c r="H30" i="18"/>
  <c r="H29" i="18"/>
  <c r="H28" i="18"/>
  <c r="H27" i="18"/>
  <c r="J14" i="17"/>
  <c r="M14" i="17" s="1"/>
  <c r="J13" i="17"/>
  <c r="M13" i="17" s="1"/>
  <c r="J12" i="17"/>
  <c r="M12" i="17" s="1"/>
  <c r="J11" i="17"/>
  <c r="M11" i="17" s="1"/>
  <c r="J10" i="17"/>
  <c r="M10" i="17" s="1"/>
  <c r="J9" i="17"/>
  <c r="M9" i="17" s="1"/>
  <c r="J8" i="17"/>
  <c r="M8" i="17" s="1"/>
  <c r="J7" i="17"/>
  <c r="M7" i="17" s="1"/>
  <c r="I14" i="17"/>
  <c r="I13" i="17"/>
  <c r="I12" i="17"/>
  <c r="I11" i="17"/>
  <c r="I10" i="17"/>
  <c r="I9" i="17"/>
  <c r="I8" i="17"/>
  <c r="I7" i="17"/>
  <c r="I5" i="17"/>
  <c r="G14" i="17"/>
  <c r="G13" i="17"/>
  <c r="G12" i="17"/>
  <c r="G11" i="17"/>
  <c r="G10" i="17"/>
  <c r="G9" i="17"/>
  <c r="G8" i="17"/>
  <c r="G7" i="17"/>
  <c r="G5" i="17"/>
  <c r="F14" i="1"/>
  <c r="H15" i="17"/>
  <c r="F15" i="17"/>
  <c r="F16" i="1" s="1"/>
  <c r="E15" i="17"/>
  <c r="F15" i="1" s="1"/>
  <c r="T20" i="7"/>
  <c r="T19" i="7"/>
  <c r="T18" i="7"/>
  <c r="T17" i="7"/>
  <c r="T16" i="7"/>
  <c r="T15" i="7"/>
  <c r="T14" i="7"/>
  <c r="T13" i="7"/>
  <c r="T12" i="7"/>
  <c r="T11" i="7"/>
  <c r="T10" i="7"/>
  <c r="T9" i="7"/>
  <c r="T8" i="7"/>
  <c r="T7" i="7"/>
  <c r="T6" i="7"/>
  <c r="T5" i="7"/>
  <c r="J5" i="17" s="1"/>
  <c r="M5" i="17" s="1"/>
  <c r="T4" i="7"/>
  <c r="F7" i="1"/>
  <c r="D5" i="10" s="1"/>
  <c r="F68" i="18" l="1"/>
  <c r="F84" i="18" s="1"/>
  <c r="O7" i="17"/>
  <c r="N7" i="17"/>
  <c r="N13" i="17"/>
  <c r="O13" i="17"/>
  <c r="N12" i="17"/>
  <c r="O12" i="17"/>
  <c r="N5" i="17"/>
  <c r="O5" i="17"/>
  <c r="O10" i="17"/>
  <c r="N10" i="17"/>
  <c r="O9" i="17"/>
  <c r="N9" i="17"/>
  <c r="N14" i="17"/>
  <c r="O14" i="17"/>
  <c r="O8" i="17"/>
  <c r="N8" i="17"/>
  <c r="N11" i="17"/>
  <c r="O11" i="17"/>
  <c r="D73" i="18"/>
  <c r="D63" i="18"/>
  <c r="D72" i="18"/>
  <c r="D62" i="18"/>
  <c r="D69" i="18"/>
  <c r="D85" i="18" s="1"/>
  <c r="G32" i="1" s="1"/>
  <c r="D70" i="18"/>
  <c r="D67" i="18"/>
  <c r="D68" i="18"/>
  <c r="D84" i="18" s="1"/>
  <c r="G31" i="1" s="1"/>
  <c r="D66" i="18"/>
  <c r="D65" i="18"/>
  <c r="D71" i="18"/>
  <c r="D64" i="18"/>
  <c r="D61" i="18"/>
  <c r="D60" i="18"/>
  <c r="F73" i="18"/>
  <c r="F63" i="18"/>
  <c r="E73" i="18"/>
  <c r="F72" i="18"/>
  <c r="F60" i="18"/>
  <c r="E72" i="18"/>
  <c r="F71" i="18"/>
  <c r="E69" i="18"/>
  <c r="E70" i="18"/>
  <c r="F70" i="18"/>
  <c r="F69" i="18"/>
  <c r="F85" i="18" s="1"/>
  <c r="E71" i="18"/>
  <c r="E64" i="18"/>
  <c r="F64" i="18"/>
  <c r="F61" i="18"/>
  <c r="E60" i="18"/>
  <c r="F18" i="1"/>
  <c r="M15" i="17"/>
  <c r="E6" i="16"/>
  <c r="B17" i="3" s="1"/>
  <c r="D11" i="15"/>
  <c r="R9" i="15"/>
  <c r="J55" i="29" s="1"/>
  <c r="R10" i="15"/>
  <c r="L55" i="29" s="1"/>
  <c r="R8" i="15"/>
  <c r="P8" i="15" s="1"/>
  <c r="G19" i="1"/>
  <c r="G17" i="1"/>
  <c r="H16" i="1"/>
  <c r="M14" i="3" l="1"/>
  <c r="M15" i="3"/>
  <c r="N15" i="3" s="1"/>
  <c r="N14" i="3"/>
  <c r="E61" i="18"/>
  <c r="G61" i="18" s="1"/>
  <c r="U10" i="15"/>
  <c r="L54" i="29" s="1"/>
  <c r="U8" i="15"/>
  <c r="U9" i="15"/>
  <c r="J54" i="29" s="1"/>
  <c r="D7" i="3"/>
  <c r="D80" i="18"/>
  <c r="G25" i="1" s="1"/>
  <c r="D81" i="18"/>
  <c r="G26" i="1" s="1"/>
  <c r="D82" i="18"/>
  <c r="J12" i="16" s="1"/>
  <c r="G73" i="18"/>
  <c r="D83" i="18"/>
  <c r="J13" i="16" s="1"/>
  <c r="G64" i="18"/>
  <c r="G71" i="18"/>
  <c r="G60" i="18"/>
  <c r="G70" i="18"/>
  <c r="E85" i="18"/>
  <c r="G69" i="18"/>
  <c r="G72" i="18"/>
  <c r="D78" i="18"/>
  <c r="G23" i="1" s="1"/>
  <c r="D74" i="18"/>
  <c r="D79" i="18"/>
  <c r="G24" i="1" s="1"/>
  <c r="F79" i="18"/>
  <c r="F81" i="18"/>
  <c r="F78" i="18"/>
  <c r="E78" i="18"/>
  <c r="H23" i="1" s="1"/>
  <c r="D8" i="29" s="1"/>
  <c r="M56" i="18"/>
  <c r="N15" i="17"/>
  <c r="H19" i="1" s="1"/>
  <c r="D7" i="29" s="1"/>
  <c r="O15" i="17"/>
  <c r="B34" i="3" s="1"/>
  <c r="G57" i="3"/>
  <c r="D37" i="29" s="1"/>
  <c r="R11" i="15"/>
  <c r="F55" i="29" s="1"/>
  <c r="M11" i="15"/>
  <c r="J11" i="15"/>
  <c r="H11" i="15"/>
  <c r="F11" i="15"/>
  <c r="K11" i="15"/>
  <c r="L11" i="15"/>
  <c r="O9" i="15"/>
  <c r="J52" i="29" s="1"/>
  <c r="E11" i="15"/>
  <c r="O10" i="15"/>
  <c r="L52" i="29" s="1"/>
  <c r="G11" i="15"/>
  <c r="F17" i="1"/>
  <c r="H15" i="1"/>
  <c r="H17" i="1" s="1"/>
  <c r="N16" i="3" l="1"/>
  <c r="G14" i="3" s="1"/>
  <c r="B14" i="3" s="1"/>
  <c r="M16" i="3"/>
  <c r="M17" i="3" s="1"/>
  <c r="C8" i="30"/>
  <c r="D6" i="10"/>
  <c r="D17" i="3"/>
  <c r="G17" i="3" s="1"/>
  <c r="E10" i="5" s="1"/>
  <c r="D32" i="29" s="1"/>
  <c r="H32" i="29" s="1"/>
  <c r="F66" i="18"/>
  <c r="E66" i="18"/>
  <c r="N56" i="18"/>
  <c r="E68" i="18"/>
  <c r="E62" i="18"/>
  <c r="E79" i="18"/>
  <c r="H24" i="1" s="1"/>
  <c r="D9" i="29" s="1"/>
  <c r="H37" i="29"/>
  <c r="U11" i="15"/>
  <c r="F54" i="29" s="1"/>
  <c r="H54" i="29" s="1"/>
  <c r="H55" i="29"/>
  <c r="P10" i="15"/>
  <c r="P9" i="15"/>
  <c r="E63" i="18"/>
  <c r="G63" i="18" s="1"/>
  <c r="G28" i="1"/>
  <c r="G30" i="1"/>
  <c r="D34" i="3"/>
  <c r="G34" i="3" s="1"/>
  <c r="E67" i="18"/>
  <c r="F67" i="18"/>
  <c r="F23" i="1"/>
  <c r="G85" i="18"/>
  <c r="H32" i="1"/>
  <c r="G78" i="18"/>
  <c r="Q56" i="18"/>
  <c r="G21" i="3" s="1"/>
  <c r="F65" i="18"/>
  <c r="F19" i="1"/>
  <c r="S8" i="15"/>
  <c r="S6" i="15"/>
  <c r="S9" i="15"/>
  <c r="J53" i="29" s="1"/>
  <c r="S10" i="15"/>
  <c r="L53" i="29" s="1"/>
  <c r="O11" i="15"/>
  <c r="P11" i="15" s="1"/>
  <c r="B7" i="1" s="1"/>
  <c r="H7" i="1" s="1"/>
  <c r="G14" i="31" s="1"/>
  <c r="G17" i="31" s="1"/>
  <c r="F83" i="18" l="1"/>
  <c r="I30" i="1" s="1"/>
  <c r="G66" i="18"/>
  <c r="F62" i="18"/>
  <c r="F80" i="18" s="1"/>
  <c r="I25" i="1" s="1"/>
  <c r="S56" i="18"/>
  <c r="D36" i="29" s="1"/>
  <c r="D38" i="29" s="1"/>
  <c r="P56" i="18"/>
  <c r="E80" i="18"/>
  <c r="E84" i="18"/>
  <c r="G68" i="18"/>
  <c r="F24" i="1"/>
  <c r="G79" i="18"/>
  <c r="F32" i="1"/>
  <c r="D14" i="29"/>
  <c r="E8" i="9"/>
  <c r="J32" i="29"/>
  <c r="K32" i="29" s="1"/>
  <c r="G8" i="9" s="1"/>
  <c r="J37" i="29"/>
  <c r="K37" i="29" s="1"/>
  <c r="E12" i="10"/>
  <c r="G35" i="31" s="1"/>
  <c r="I35" i="31" s="1"/>
  <c r="E13" i="10"/>
  <c r="F52" i="29"/>
  <c r="E81" i="18"/>
  <c r="G81" i="18" s="1"/>
  <c r="G67" i="18"/>
  <c r="E83" i="18"/>
  <c r="F82" i="18"/>
  <c r="O56" i="18"/>
  <c r="E65" i="18"/>
  <c r="G65" i="18" s="1"/>
  <c r="S11" i="15"/>
  <c r="F53" i="29" s="1"/>
  <c r="C28" i="10" l="1"/>
  <c r="G36" i="31"/>
  <c r="I36" i="31" s="1"/>
  <c r="G80" i="18"/>
  <c r="G62" i="18"/>
  <c r="F74" i="18"/>
  <c r="H25" i="1"/>
  <c r="G84" i="18"/>
  <c r="H31" i="1"/>
  <c r="E11" i="10"/>
  <c r="J28" i="10"/>
  <c r="C27" i="10"/>
  <c r="J27" i="10"/>
  <c r="F56" i="29"/>
  <c r="H52" i="29"/>
  <c r="H53" i="29"/>
  <c r="H26" i="1"/>
  <c r="G83" i="18"/>
  <c r="H30" i="1"/>
  <c r="F30" i="1" s="1"/>
  <c r="F86" i="18"/>
  <c r="I28" i="1"/>
  <c r="I35" i="1" s="1"/>
  <c r="D37" i="3" s="1"/>
  <c r="E82" i="18"/>
  <c r="H28" i="1" s="1"/>
  <c r="E74" i="18"/>
  <c r="J26" i="10" l="1"/>
  <c r="G34" i="31"/>
  <c r="I34" i="31" s="1"/>
  <c r="D10" i="29"/>
  <c r="F25" i="1"/>
  <c r="G74" i="18"/>
  <c r="C26" i="10"/>
  <c r="C29" i="10" s="1"/>
  <c r="E14" i="10"/>
  <c r="F31" i="1"/>
  <c r="D13" i="29"/>
  <c r="F26" i="1"/>
  <c r="D11" i="29"/>
  <c r="H34" i="1"/>
  <c r="I36" i="1" s="1"/>
  <c r="B54" i="3" s="1"/>
  <c r="D54" i="3" s="1"/>
  <c r="D12" i="29"/>
  <c r="J29" i="10"/>
  <c r="F28" i="1"/>
  <c r="E86" i="18"/>
  <c r="G86" i="18" s="1"/>
  <c r="G82" i="18"/>
  <c r="E24" i="5" l="1"/>
  <c r="B7" i="3"/>
  <c r="G7" i="3" s="1"/>
  <c r="D10" i="3" s="1"/>
  <c r="F12" i="10"/>
  <c r="G39" i="31" s="1"/>
  <c r="I39" i="31" s="1"/>
  <c r="D7" i="10"/>
  <c r="F13" i="10"/>
  <c r="B37" i="3"/>
  <c r="G37" i="3" s="1"/>
  <c r="B40" i="3" s="1"/>
  <c r="G40" i="3" s="1"/>
  <c r="G42" i="3" s="1"/>
  <c r="E12" i="5" s="1"/>
  <c r="D34" i="29" s="1"/>
  <c r="D17" i="29"/>
  <c r="D16" i="29"/>
  <c r="B21" i="3"/>
  <c r="D21" i="3" s="1"/>
  <c r="I37" i="1"/>
  <c r="B25" i="4" s="1"/>
  <c r="G59" i="3"/>
  <c r="E15" i="5" s="1"/>
  <c r="D28" i="10" l="1"/>
  <c r="E28" i="10" s="1"/>
  <c r="G40" i="31"/>
  <c r="I40" i="31" s="1"/>
  <c r="G10" i="3"/>
  <c r="E9" i="5" s="1"/>
  <c r="D31" i="29" s="1"/>
  <c r="F11" i="10"/>
  <c r="K28" i="10"/>
  <c r="L28" i="10" s="1"/>
  <c r="K27" i="10"/>
  <c r="L27" i="10" s="1"/>
  <c r="D27" i="10"/>
  <c r="E27" i="10" s="1"/>
  <c r="E34" i="29"/>
  <c r="C10" i="9" s="1"/>
  <c r="E36" i="29"/>
  <c r="G36" i="29" s="1"/>
  <c r="H34" i="29"/>
  <c r="J34" i="29" s="1"/>
  <c r="H36" i="29"/>
  <c r="J36" i="29" s="1"/>
  <c r="J38" i="29" s="1"/>
  <c r="G26" i="3"/>
  <c r="E11" i="5" s="1"/>
  <c r="D33" i="29" s="1"/>
  <c r="G25" i="4"/>
  <c r="F14" i="10" l="1"/>
  <c r="G38" i="31"/>
  <c r="I38" i="31" s="1"/>
  <c r="I41" i="31" s="1"/>
  <c r="D17" i="31" s="1"/>
  <c r="I17" i="31" s="1"/>
  <c r="F21" i="31" s="1"/>
  <c r="G38" i="29"/>
  <c r="K38" i="29" s="1"/>
  <c r="G12" i="9" s="1"/>
  <c r="K36" i="29"/>
  <c r="F31" i="29"/>
  <c r="G31" i="29" s="1"/>
  <c r="K31" i="29" s="1"/>
  <c r="K26" i="10"/>
  <c r="L26" i="10" s="1"/>
  <c r="D26" i="10"/>
  <c r="E26" i="10" s="1"/>
  <c r="G34" i="29"/>
  <c r="K34" i="29" s="1"/>
  <c r="G10" i="9" s="1"/>
  <c r="E38" i="29"/>
  <c r="C12" i="9" s="1"/>
  <c r="E10" i="9"/>
  <c r="H38" i="29"/>
  <c r="E12" i="9" s="1"/>
  <c r="H33" i="29"/>
  <c r="E33" i="29"/>
  <c r="D39" i="29"/>
  <c r="B63" i="3"/>
  <c r="G63" i="3" s="1"/>
  <c r="E16" i="5" s="1"/>
  <c r="D40" i="29" s="1"/>
  <c r="B8" i="4"/>
  <c r="B46" i="3"/>
  <c r="G46" i="3" s="1"/>
  <c r="E13" i="5" s="1"/>
  <c r="D45" i="29" s="1"/>
  <c r="E18" i="5"/>
  <c r="D42" i="29" s="1"/>
  <c r="D7" i="9" l="1"/>
  <c r="K29" i="10"/>
  <c r="L29" i="10" s="1"/>
  <c r="F39" i="29"/>
  <c r="D29" i="10"/>
  <c r="E29" i="10" s="1"/>
  <c r="E8" i="30" s="1"/>
  <c r="C9" i="9"/>
  <c r="G33" i="29"/>
  <c r="E39" i="29"/>
  <c r="E9" i="9"/>
  <c r="J33" i="29"/>
  <c r="J39" i="29" s="1"/>
  <c r="H40" i="29" s="1"/>
  <c r="E13" i="9" s="1"/>
  <c r="H39" i="29"/>
  <c r="D41" i="29"/>
  <c r="E17" i="5"/>
  <c r="G8" i="4"/>
  <c r="E19" i="5" s="1"/>
  <c r="G39" i="29" l="1"/>
  <c r="E40" i="29" s="1"/>
  <c r="C13" i="9" s="1"/>
  <c r="K33" i="29"/>
  <c r="G9" i="9" s="1"/>
  <c r="I40" i="29"/>
  <c r="I41" i="29" s="1"/>
  <c r="H41" i="29"/>
  <c r="B12" i="4"/>
  <c r="G12" i="4" s="1"/>
  <c r="B16" i="4"/>
  <c r="G16" i="4" s="1"/>
  <c r="F40" i="29" l="1"/>
  <c r="G40" i="29" s="1"/>
  <c r="K39" i="29"/>
  <c r="J40" i="29"/>
  <c r="J41" i="29" s="1"/>
  <c r="H42" i="29" s="1"/>
  <c r="E14" i="9" s="1"/>
  <c r="F13" i="9"/>
  <c r="E41" i="29"/>
  <c r="E20" i="5"/>
  <c r="E21" i="5"/>
  <c r="G41" i="29" l="1"/>
  <c r="K41" i="29" s="1"/>
  <c r="K40" i="29"/>
  <c r="F41" i="29"/>
  <c r="D13" i="9"/>
  <c r="I42" i="29"/>
  <c r="F14" i="9" s="1"/>
  <c r="D43" i="29"/>
  <c r="G18" i="4"/>
  <c r="E22" i="5"/>
  <c r="F42" i="29" l="1"/>
  <c r="D14" i="9" s="1"/>
  <c r="E42" i="29"/>
  <c r="C14" i="9" s="1"/>
  <c r="H43" i="29"/>
  <c r="E15" i="9" s="1"/>
  <c r="J42" i="29"/>
  <c r="F43" i="29"/>
  <c r="D15" i="9" s="1"/>
  <c r="E43" i="29"/>
  <c r="C15" i="9" s="1"/>
  <c r="D44" i="29"/>
  <c r="I43" i="29"/>
  <c r="F15" i="9" s="1"/>
  <c r="G22" i="5"/>
  <c r="G21" i="5"/>
  <c r="G18" i="5"/>
  <c r="Q15" i="5" s="1"/>
  <c r="E25" i="5"/>
  <c r="G11" i="5"/>
  <c r="Q11" i="5" s="1"/>
  <c r="G9" i="5"/>
  <c r="Q9" i="5" s="1"/>
  <c r="G14" i="5"/>
  <c r="G15" i="5"/>
  <c r="Q13" i="5" s="1"/>
  <c r="G19" i="5"/>
  <c r="G20" i="5"/>
  <c r="G10" i="5"/>
  <c r="Q10" i="5" s="1"/>
  <c r="G13" i="5"/>
  <c r="G12" i="5"/>
  <c r="G17" i="5"/>
  <c r="G16" i="5"/>
  <c r="Q14" i="5" s="1"/>
  <c r="G42" i="29" l="1"/>
  <c r="K42" i="29" s="1"/>
  <c r="G14" i="9" s="1"/>
  <c r="H44" i="29"/>
  <c r="D46" i="29"/>
  <c r="E44" i="29"/>
  <c r="F44" i="29"/>
  <c r="G43" i="29"/>
  <c r="I44" i="29"/>
  <c r="J43" i="29"/>
  <c r="J44" i="29" s="1"/>
  <c r="Q16" i="5"/>
  <c r="Q12" i="5"/>
  <c r="G44" i="29" l="1"/>
  <c r="K44" i="29" s="1"/>
  <c r="K43" i="29"/>
  <c r="G15" i="9" s="1"/>
  <c r="I45" i="29"/>
  <c r="I46" i="29" s="1"/>
  <c r="H45" i="29"/>
  <c r="E16" i="9" s="1"/>
  <c r="F45" i="29" l="1"/>
  <c r="F46" i="29" s="1"/>
  <c r="D52" i="29" s="1"/>
  <c r="G52" i="29" s="1"/>
  <c r="E45" i="29"/>
  <c r="C16" i="9" s="1"/>
  <c r="C17" i="9" s="1"/>
  <c r="R7" i="9" s="1"/>
  <c r="F16" i="9"/>
  <c r="F17" i="9" s="1"/>
  <c r="R10" i="9" s="1"/>
  <c r="H46" i="29"/>
  <c r="D54" i="29" s="1"/>
  <c r="G54" i="29" s="1"/>
  <c r="J45" i="29"/>
  <c r="J46" i="29" s="1"/>
  <c r="E17" i="9"/>
  <c r="R9" i="9" s="1"/>
  <c r="M54" i="29" l="1"/>
  <c r="K54" i="29"/>
  <c r="M52" i="29"/>
  <c r="K52" i="29"/>
  <c r="D16" i="9"/>
  <c r="D17" i="9" s="1"/>
  <c r="R8" i="9" s="1"/>
  <c r="E46" i="29"/>
  <c r="D53" i="29" s="1"/>
  <c r="G53" i="29" s="1"/>
  <c r="G45" i="29"/>
  <c r="K45" i="29" s="1"/>
  <c r="F25" i="9"/>
  <c r="F23" i="9"/>
  <c r="K53" i="29" l="1"/>
  <c r="M53" i="29"/>
  <c r="G46" i="29"/>
  <c r="K46" i="29" s="1"/>
  <c r="I54" i="29"/>
  <c r="I52" i="29"/>
  <c r="F24" i="9"/>
  <c r="I53" i="29" l="1"/>
  <c r="G13" i="9" l="1"/>
  <c r="G16" i="9" l="1"/>
  <c r="G17" i="9" s="1"/>
  <c r="R11" i="9" s="1"/>
  <c r="D55" i="29" l="1"/>
  <c r="G55" i="29" s="1"/>
  <c r="K55" i="29" l="1"/>
  <c r="K56" i="29" s="1"/>
  <c r="D29" i="9" s="1"/>
  <c r="R23" i="9" s="1"/>
  <c r="M55" i="29"/>
  <c r="M56" i="29" s="1"/>
  <c r="F29" i="9" s="1"/>
  <c r="R24" i="9" s="1"/>
  <c r="F26" i="9"/>
  <c r="D56" i="29"/>
  <c r="I55" i="29" l="1"/>
  <c r="I56" i="29" s="1"/>
  <c r="B29" i="9" s="1"/>
  <c r="B8" i="30" l="1"/>
  <c r="D8" i="30" s="1"/>
  <c r="D14" i="31"/>
  <c r="I14" i="31" s="1"/>
  <c r="F20" i="31" s="1"/>
  <c r="I20" i="31" s="1"/>
  <c r="R22" i="9"/>
  <c r="D4" i="10"/>
  <c r="L30" i="10" s="1"/>
  <c r="E30" i="10" l="1"/>
</calcChain>
</file>

<file path=xl/sharedStrings.xml><?xml version="1.0" encoding="utf-8"?>
<sst xmlns="http://schemas.openxmlformats.org/spreadsheetml/2006/main" count="1373" uniqueCount="761">
  <si>
    <t>第３表</t>
    <rPh sb="0" eb="1">
      <t>ダイ</t>
    </rPh>
    <rPh sb="2" eb="3">
      <t>ヒョウ</t>
    </rPh>
    <phoneticPr fontId="4"/>
  </si>
  <si>
    <t>営業費項目別算定明細表</t>
    <rPh sb="0" eb="3">
      <t>エイギョウヒ</t>
    </rPh>
    <rPh sb="3" eb="5">
      <t>コウモク</t>
    </rPh>
    <rPh sb="5" eb="6">
      <t>ベツ</t>
    </rPh>
    <rPh sb="6" eb="8">
      <t>サンテイ</t>
    </rPh>
    <rPh sb="8" eb="10">
      <t>メイサイ</t>
    </rPh>
    <rPh sb="10" eb="11">
      <t>オモテ</t>
    </rPh>
    <phoneticPr fontId="4"/>
  </si>
  <si>
    <t>(1)原料費</t>
    <phoneticPr fontId="4"/>
  </si>
  <si>
    <t>　ガスの販売量(A)　÷　産気率(c1)　＝　原料の数量(c2)　　</t>
    <phoneticPr fontId="4"/>
  </si>
  <si>
    <t>㎥/年</t>
    <phoneticPr fontId="4"/>
  </si>
  <si>
    <t>㎥/kg</t>
    <phoneticPr fontId="4"/>
  </si>
  <si>
    <t>kg/年</t>
  </si>
  <si>
    <t>　原料購入単価(c3)　×　原料の数量(c2)　＝　原料費(C）</t>
    <rPh sb="1" eb="3">
      <t>ゲンリョウ</t>
    </rPh>
    <rPh sb="3" eb="5">
      <t>コウニュウ</t>
    </rPh>
    <rPh sb="5" eb="7">
      <t>タンカ</t>
    </rPh>
    <rPh sb="14" eb="16">
      <t>ゲンリョウ</t>
    </rPh>
    <rPh sb="17" eb="19">
      <t>スウリョウ</t>
    </rPh>
    <rPh sb="26" eb="29">
      <t>ゲンリョウヒ</t>
    </rPh>
    <phoneticPr fontId="4"/>
  </si>
  <si>
    <t>円/kg</t>
  </si>
  <si>
    <t>kg/年</t>
    <rPh sb="3" eb="4">
      <t>ネン</t>
    </rPh>
    <phoneticPr fontId="4"/>
  </si>
  <si>
    <t>円</t>
  </si>
  <si>
    <t>(2)労務費</t>
    <phoneticPr fontId="4"/>
  </si>
  <si>
    <t>　１供給地点当たり所要人数(d1)　×　供給地点数(d2)　＝　所要人員数(d3)</t>
    <rPh sb="2" eb="4">
      <t>キョウキュウ</t>
    </rPh>
    <rPh sb="6" eb="7">
      <t>ア</t>
    </rPh>
    <rPh sb="9" eb="11">
      <t>ショヨウ</t>
    </rPh>
    <rPh sb="11" eb="13">
      <t>ニンズウ</t>
    </rPh>
    <phoneticPr fontId="4"/>
  </si>
  <si>
    <t>人</t>
  </si>
  <si>
    <t>　１人当たり年間平均労務費(d4)　×　所要人員数(d3)　＝　労務費(D)</t>
    <rPh sb="2" eb="3">
      <t>ニン</t>
    </rPh>
    <rPh sb="3" eb="4">
      <t>ア</t>
    </rPh>
    <rPh sb="20" eb="22">
      <t>ショヨウ</t>
    </rPh>
    <rPh sb="22" eb="24">
      <t>ジンイン</t>
    </rPh>
    <rPh sb="24" eb="25">
      <t>スウ</t>
    </rPh>
    <phoneticPr fontId="4"/>
  </si>
  <si>
    <t>(3)修繕費</t>
    <phoneticPr fontId="4"/>
  </si>
  <si>
    <t>　建物及び償却資産投資額(B⑦-B④-B⑤)　×　修繕費率(e1)　＝　修繕費(E①)</t>
    <rPh sb="1" eb="3">
      <t>タテモノ</t>
    </rPh>
    <rPh sb="3" eb="4">
      <t>オヨ</t>
    </rPh>
    <phoneticPr fontId="4"/>
  </si>
  <si>
    <t>　導管取替に係る投資額(B④+B⑤)　×　修繕費率(e2)　＝　修繕費(E②)</t>
    <rPh sb="1" eb="3">
      <t>ドウカン</t>
    </rPh>
    <rPh sb="3" eb="5">
      <t>トリカエ</t>
    </rPh>
    <rPh sb="6" eb="7">
      <t>カカ</t>
    </rPh>
    <rPh sb="8" eb="10">
      <t>トウシ</t>
    </rPh>
    <rPh sb="10" eb="11">
      <t>ガク</t>
    </rPh>
    <phoneticPr fontId="4"/>
  </si>
  <si>
    <t>　修繕費（Ｅ）　　　　　　　　　　(E①+E②)</t>
    <phoneticPr fontId="4"/>
  </si>
  <si>
    <t>(4)租税課金</t>
    <phoneticPr fontId="4"/>
  </si>
  <si>
    <t>（固定資産税）</t>
  </si>
  <si>
    <t>〔土地〕</t>
  </si>
  <si>
    <t>標準所要面積の範囲内の面積
に係る固定資産税評価額(f1)</t>
    <rPh sb="0" eb="2">
      <t>ヒョウジュン</t>
    </rPh>
    <rPh sb="2" eb="4">
      <t>ショヨウ</t>
    </rPh>
    <rPh sb="4" eb="6">
      <t>メンセキ</t>
    </rPh>
    <rPh sb="7" eb="10">
      <t>ハンイナイ</t>
    </rPh>
    <rPh sb="11" eb="13">
      <t>メンセキ</t>
    </rPh>
    <rPh sb="15" eb="16">
      <t>カカ</t>
    </rPh>
    <phoneticPr fontId="4"/>
  </si>
  <si>
    <t>〔建物及び償却資産〕</t>
  </si>
  <si>
    <t>　建物及び償却資産
　投資額(B②×1/2）</t>
    <rPh sb="1" eb="2">
      <t>ケン</t>
    </rPh>
    <rPh sb="2" eb="3">
      <t>ブツ</t>
    </rPh>
    <rPh sb="3" eb="4">
      <t>オヨ</t>
    </rPh>
    <rPh sb="5" eb="7">
      <t>ショウキャク</t>
    </rPh>
    <rPh sb="7" eb="9">
      <t>シサン</t>
    </rPh>
    <rPh sb="11" eb="13">
      <t>トウシ</t>
    </rPh>
    <rPh sb="13" eb="14">
      <t>ガク</t>
    </rPh>
    <phoneticPr fontId="4"/>
  </si>
  <si>
    <t>+</t>
  </si>
  <si>
    <t>建物及び償却資産に
係る課税標準額(f4)</t>
    <phoneticPr fontId="4"/>
  </si>
  <si>
    <t>円</t>
    <rPh sb="0" eb="1">
      <t>エン</t>
    </rPh>
    <phoneticPr fontId="4"/>
  </si>
  <si>
    <t>　建物及び償却資産に
　係る課税標準額(f4)</t>
    <rPh sb="1" eb="3">
      <t>タテモノ</t>
    </rPh>
    <rPh sb="3" eb="4">
      <t>オヨ</t>
    </rPh>
    <rPh sb="5" eb="7">
      <t>ショウキャク</t>
    </rPh>
    <rPh sb="7" eb="9">
      <t>シサン</t>
    </rPh>
    <rPh sb="12" eb="13">
      <t>カカ</t>
    </rPh>
    <phoneticPr fontId="4"/>
  </si>
  <si>
    <t>×　地方税法に定める標準税率(f2)　＝　</t>
    <phoneticPr fontId="4"/>
  </si>
  <si>
    <t xml:space="preserve">  建物及び償却資産に
  係る固定資産税(F②)</t>
    <phoneticPr fontId="4"/>
  </si>
  <si>
    <t>　固定資産税(F)　　　　　　　　　　(F①+F②)</t>
    <phoneticPr fontId="4"/>
  </si>
  <si>
    <t>（事業税）</t>
    <phoneticPr fontId="4"/>
  </si>
  <si>
    <t>　事業報酬額(L) ×　</t>
    <rPh sb="1" eb="3">
      <t>ジギョウ</t>
    </rPh>
    <rPh sb="3" eb="5">
      <t>ホウシュウ</t>
    </rPh>
    <rPh sb="5" eb="6">
      <t>ガク</t>
    </rPh>
    <phoneticPr fontId="4"/>
  </si>
  <si>
    <t>事業報酬額中の自己
資本相当分比率(g1)</t>
    <phoneticPr fontId="4"/>
  </si>
  <si>
    <t>×　事業税率(g2)/（1-事業税率）＝ 事業税(G)</t>
    <phoneticPr fontId="4"/>
  </si>
  <si>
    <t>（道路占用料）</t>
    <phoneticPr fontId="4"/>
  </si>
  <si>
    <t>　１供給地点当たりの占用料(h1)　×　供給地点数(h2)　＝　道路占用料(H)</t>
    <rPh sb="6" eb="7">
      <t>トウ</t>
    </rPh>
    <rPh sb="11" eb="12">
      <t>ヨウ</t>
    </rPh>
    <phoneticPr fontId="4"/>
  </si>
  <si>
    <t>(5)減価償却費</t>
  </si>
  <si>
    <t>　建物及び償却資産(車両を除く。)投資額(B⑦-B⑥)　×　償却率(i1)　＝　減価償却費(I①)</t>
    <rPh sb="1" eb="3">
      <t>タテモノ</t>
    </rPh>
    <rPh sb="3" eb="4">
      <t>オヨ</t>
    </rPh>
    <rPh sb="17" eb="19">
      <t>トウシ</t>
    </rPh>
    <rPh sb="19" eb="20">
      <t>ガク</t>
    </rPh>
    <phoneticPr fontId="4"/>
  </si>
  <si>
    <t>　車両投資額(B⑥)　×　償却率(i2)　＝　減価償却費(I②)</t>
    <phoneticPr fontId="4"/>
  </si>
  <si>
    <t>　減価償却費(I)　　　　　　　　　　(I①+I②)</t>
    <phoneticPr fontId="4"/>
  </si>
  <si>
    <t>(6)その他経費</t>
  </si>
  <si>
    <t>原料費、労務費、修繕費、固定資産税、
道路占用料及び減価償却費の合計額(j1)</t>
    <rPh sb="24" eb="25">
      <t>オヨ</t>
    </rPh>
    <phoneticPr fontId="4"/>
  </si>
  <si>
    <t>×　諸経費率(j2)　＝　その他経費(J)</t>
    <phoneticPr fontId="4"/>
  </si>
  <si>
    <t>　第４表</t>
    <rPh sb="1" eb="2">
      <t>ダイ</t>
    </rPh>
    <rPh sb="3" eb="4">
      <t>ヒョウ</t>
    </rPh>
    <phoneticPr fontId="4"/>
  </si>
  <si>
    <t>営業費以外の項目算定明細表</t>
    <rPh sb="0" eb="3">
      <t>エイギョウヒ</t>
    </rPh>
    <rPh sb="3" eb="5">
      <t>イガイ</t>
    </rPh>
    <rPh sb="6" eb="8">
      <t>コウモク</t>
    </rPh>
    <rPh sb="8" eb="10">
      <t>サンテイ</t>
    </rPh>
    <rPh sb="10" eb="12">
      <t>メイサイ</t>
    </rPh>
    <rPh sb="12" eb="13">
      <t>オモテ</t>
    </rPh>
    <phoneticPr fontId="4"/>
  </si>
  <si>
    <t>（法人税）</t>
    <phoneticPr fontId="4"/>
  </si>
  <si>
    <t xml:space="preserve">事業報酬額(L)　× </t>
    <phoneticPr fontId="4"/>
  </si>
  <si>
    <t>事業報酬額中の自己
資本相当分比率(k1)</t>
    <rPh sb="0" eb="2">
      <t>ジギョウ</t>
    </rPh>
    <rPh sb="2" eb="4">
      <t>ホウシュウ</t>
    </rPh>
    <rPh sb="4" eb="5">
      <t>ガク</t>
    </rPh>
    <rPh sb="5" eb="6">
      <t>ナカ</t>
    </rPh>
    <rPh sb="7" eb="9">
      <t>ジコ</t>
    </rPh>
    <phoneticPr fontId="4"/>
  </si>
  <si>
    <t>×　法人税係数(k2)　＝　法人税(K①)</t>
    <rPh sb="2" eb="5">
      <t>ホウジンゼイ</t>
    </rPh>
    <rPh sb="5" eb="7">
      <t>ケイスウ</t>
    </rPh>
    <phoneticPr fontId="4"/>
  </si>
  <si>
    <t>（地方法人税）</t>
    <rPh sb="1" eb="3">
      <t>チホウ</t>
    </rPh>
    <phoneticPr fontId="4"/>
  </si>
  <si>
    <t xml:space="preserve">　法人税(K①)　× </t>
    <phoneticPr fontId="4"/>
  </si>
  <si>
    <t>地方法人税法に定める税率(k3)</t>
    <rPh sb="0" eb="2">
      <t>チホウ</t>
    </rPh>
    <rPh sb="2" eb="5">
      <t>ホウジンゼイ</t>
    </rPh>
    <rPh sb="5" eb="6">
      <t>ホウ</t>
    </rPh>
    <rPh sb="7" eb="8">
      <t>サダ</t>
    </rPh>
    <rPh sb="10" eb="12">
      <t>ゼイリツ</t>
    </rPh>
    <phoneticPr fontId="4"/>
  </si>
  <si>
    <t>＝　　 地方法人税(K②)</t>
    <phoneticPr fontId="4"/>
  </si>
  <si>
    <t>（住民税（法人税割に限る。））</t>
    <rPh sb="1" eb="4">
      <t>ジュウミンゼイ</t>
    </rPh>
    <rPh sb="5" eb="8">
      <t>ホウジンゼイ</t>
    </rPh>
    <rPh sb="8" eb="9">
      <t>ワ</t>
    </rPh>
    <rPh sb="10" eb="11">
      <t>カギ</t>
    </rPh>
    <phoneticPr fontId="4"/>
  </si>
  <si>
    <t>地方税法に定める標準税率(k4)</t>
    <phoneticPr fontId="4"/>
  </si>
  <si>
    <t>＝　　住民税(K③)</t>
    <phoneticPr fontId="4"/>
  </si>
  <si>
    <t>　法人税及び地方法人税並びに住民税(K)　　　　　(K①+K②+K③)</t>
    <rPh sb="6" eb="8">
      <t>チホウ</t>
    </rPh>
    <rPh sb="8" eb="11">
      <t>ホウジンゼイ</t>
    </rPh>
    <rPh sb="11" eb="12">
      <t>ナラ</t>
    </rPh>
    <phoneticPr fontId="4"/>
  </si>
  <si>
    <t>　第５表</t>
    <rPh sb="1" eb="2">
      <t>ダイ</t>
    </rPh>
    <rPh sb="3" eb="4">
      <t>ヒョウ</t>
    </rPh>
    <phoneticPr fontId="4"/>
  </si>
  <si>
    <t>事業報酬算定明細表</t>
    <rPh sb="0" eb="2">
      <t>ジギョウ</t>
    </rPh>
    <rPh sb="2" eb="4">
      <t>ホウシュウ</t>
    </rPh>
    <rPh sb="4" eb="6">
      <t>サンテイ</t>
    </rPh>
    <rPh sb="6" eb="8">
      <t>メイサイ</t>
    </rPh>
    <rPh sb="8" eb="9">
      <t>ヒョウ</t>
    </rPh>
    <phoneticPr fontId="4"/>
  </si>
  <si>
    <t>　有形固定資産投資額(B)　×　標準報酬率(l1)　＝　事業報酬額(L)</t>
    <phoneticPr fontId="4"/>
  </si>
  <si>
    <t>様式第２　（第８条、第９条、第１０条、第１１条関係）</t>
    <rPh sb="0" eb="2">
      <t>ヨウシキ</t>
    </rPh>
    <rPh sb="2" eb="3">
      <t>ダイ</t>
    </rPh>
    <rPh sb="6" eb="7">
      <t>ダイ</t>
    </rPh>
    <rPh sb="8" eb="9">
      <t>ジョウ</t>
    </rPh>
    <rPh sb="10" eb="11">
      <t>ダイ</t>
    </rPh>
    <rPh sb="12" eb="13">
      <t>ジョウ</t>
    </rPh>
    <rPh sb="14" eb="15">
      <t>ダイ</t>
    </rPh>
    <rPh sb="17" eb="18">
      <t>ジョウ</t>
    </rPh>
    <rPh sb="19" eb="20">
      <t>ダイ</t>
    </rPh>
    <rPh sb="22" eb="23">
      <t>ジョウ</t>
    </rPh>
    <rPh sb="23" eb="25">
      <t>カンケイ</t>
    </rPh>
    <phoneticPr fontId="4"/>
  </si>
  <si>
    <t>　第１表</t>
    <rPh sb="1" eb="2">
      <t>ダイ</t>
    </rPh>
    <rPh sb="3" eb="4">
      <t>ヒョウ</t>
    </rPh>
    <phoneticPr fontId="4"/>
  </si>
  <si>
    <t>総 原 価 整 理 表</t>
    <rPh sb="0" eb="1">
      <t>ソウ</t>
    </rPh>
    <rPh sb="2" eb="3">
      <t>ハラ</t>
    </rPh>
    <rPh sb="4" eb="5">
      <t>アタイ</t>
    </rPh>
    <rPh sb="6" eb="7">
      <t>タダシ</t>
    </rPh>
    <rPh sb="8" eb="9">
      <t>リ</t>
    </rPh>
    <rPh sb="10" eb="11">
      <t>ヒョウ</t>
    </rPh>
    <phoneticPr fontId="4"/>
  </si>
  <si>
    <t>原　　料　　費</t>
    <phoneticPr fontId="4"/>
  </si>
  <si>
    <t>租税課金</t>
    <rPh sb="2" eb="3">
      <t>カ</t>
    </rPh>
    <rPh sb="3" eb="4">
      <t>キン</t>
    </rPh>
    <phoneticPr fontId="4"/>
  </si>
  <si>
    <t>固定資産税</t>
    <rPh sb="4" eb="5">
      <t>ゼイ</t>
    </rPh>
    <phoneticPr fontId="4"/>
  </si>
  <si>
    <t>道路占用料</t>
  </si>
  <si>
    <t>法人税及
び地方法人税並びに
住民税</t>
    <rPh sb="0" eb="3">
      <t>ホウジンゼイ</t>
    </rPh>
    <rPh sb="3" eb="4">
      <t>オヨ</t>
    </rPh>
    <rPh sb="6" eb="8">
      <t>チホウ</t>
    </rPh>
    <rPh sb="8" eb="11">
      <t>ホウジンゼイ</t>
    </rPh>
    <rPh sb="11" eb="12">
      <t>ナラ</t>
    </rPh>
    <phoneticPr fontId="4"/>
  </si>
  <si>
    <t>地方法人税</t>
    <rPh sb="0" eb="2">
      <t>チホウ</t>
    </rPh>
    <rPh sb="2" eb="5">
      <t>ホウジンゼイ</t>
    </rPh>
    <phoneticPr fontId="4"/>
  </si>
  <si>
    <t>㎥／年</t>
    <phoneticPr fontId="4"/>
  </si>
  <si>
    <t>需要家原価</t>
  </si>
  <si>
    <t>固定費</t>
  </si>
  <si>
    <t>変動費</t>
  </si>
  <si>
    <t>計</t>
  </si>
  <si>
    <t>労　　務　　費</t>
  </si>
  <si>
    <t>修　　繕　　費</t>
  </si>
  <si>
    <t>固 定 資 産 税</t>
  </si>
  <si>
    <t>そ の 他 経 費</t>
  </si>
  <si>
    <t>供給需要原価</t>
  </si>
  <si>
    <t>労務費</t>
  </si>
  <si>
    <t>住民税</t>
  </si>
  <si>
    <t>　第２表</t>
    <rPh sb="1" eb="2">
      <t>ダイ</t>
    </rPh>
    <rPh sb="3" eb="4">
      <t>ヒョウ</t>
    </rPh>
    <phoneticPr fontId="4"/>
  </si>
  <si>
    <t>機能別原価配分集計表</t>
    <rPh sb="0" eb="2">
      <t>キノウ</t>
    </rPh>
    <rPh sb="2" eb="3">
      <t>ベツ</t>
    </rPh>
    <rPh sb="3" eb="5">
      <t>ゲンカ</t>
    </rPh>
    <rPh sb="5" eb="7">
      <t>ハイブン</t>
    </rPh>
    <rPh sb="7" eb="9">
      <t>シュウケイ</t>
    </rPh>
    <rPh sb="9" eb="10">
      <t>オモテ</t>
    </rPh>
    <phoneticPr fontId="4"/>
  </si>
  <si>
    <t>（単位：円）</t>
  </si>
  <si>
    <t>項　　　　　目</t>
    <phoneticPr fontId="4"/>
  </si>
  <si>
    <t>製造需要原価</t>
    <phoneticPr fontId="4"/>
  </si>
  <si>
    <t>供給需要原価</t>
    <phoneticPr fontId="4"/>
  </si>
  <si>
    <t>需要家原価</t>
    <phoneticPr fontId="4"/>
  </si>
  <si>
    <t>減 価 償 却 費</t>
  </si>
  <si>
    <t>事 業 報 酬 額</t>
  </si>
  <si>
    <t>事    業    税</t>
  </si>
  <si>
    <t>合          計</t>
  </si>
  <si>
    <t>　第３表</t>
    <rPh sb="1" eb="2">
      <t>ダイ</t>
    </rPh>
    <rPh sb="3" eb="4">
      <t>ヒョウ</t>
    </rPh>
    <phoneticPr fontId="4"/>
  </si>
  <si>
    <t>需要種別原価整理表</t>
    <rPh sb="0" eb="2">
      <t>ジュヨウ</t>
    </rPh>
    <rPh sb="2" eb="4">
      <t>シュベツ</t>
    </rPh>
    <rPh sb="4" eb="6">
      <t>ゲンカ</t>
    </rPh>
    <rPh sb="6" eb="8">
      <t>セイリ</t>
    </rPh>
    <rPh sb="8" eb="9">
      <t>ヒョウ</t>
    </rPh>
    <phoneticPr fontId="4"/>
  </si>
  <si>
    <t>機　 能 　別 　原　 価</t>
    <phoneticPr fontId="4"/>
  </si>
  <si>
    <t>配  分　基　準</t>
    <rPh sb="3" eb="4">
      <t>フン</t>
    </rPh>
    <rPh sb="5" eb="6">
      <t>モト</t>
    </rPh>
    <rPh sb="7" eb="8">
      <t>ジュン</t>
    </rPh>
    <phoneticPr fontId="4"/>
  </si>
  <si>
    <t>原　単　位</t>
    <rPh sb="0" eb="1">
      <t>ゲン</t>
    </rPh>
    <phoneticPr fontId="4"/>
  </si>
  <si>
    <t>変　　動　　費　　計</t>
  </si>
  <si>
    <t>年  間  販  売  量  比</t>
    <phoneticPr fontId="4"/>
  </si>
  <si>
    <t>円／㎥</t>
    <phoneticPr fontId="4"/>
  </si>
  <si>
    <t>製造需要原価固定費</t>
    <phoneticPr fontId="4"/>
  </si>
  <si>
    <t>ピーク月販売量比</t>
    <phoneticPr fontId="4"/>
  </si>
  <si>
    <t>供給需要原価固定費</t>
    <phoneticPr fontId="4"/>
  </si>
  <si>
    <t>延メーター通過量比</t>
    <phoneticPr fontId="4"/>
  </si>
  <si>
    <t>需　要　家　原　価</t>
    <phoneticPr fontId="4"/>
  </si>
  <si>
    <t>延供給地点数比</t>
    <rPh sb="1" eb="3">
      <t>キョウキュウ</t>
    </rPh>
    <phoneticPr fontId="4"/>
  </si>
  <si>
    <t>円／地点</t>
  </si>
  <si>
    <t>供給約款料金原価（円）</t>
    <rPh sb="0" eb="1">
      <t>トモ</t>
    </rPh>
    <rPh sb="1" eb="2">
      <t>キュウ</t>
    </rPh>
    <rPh sb="2" eb="3">
      <t>ヤク</t>
    </rPh>
    <rPh sb="3" eb="4">
      <t>カン</t>
    </rPh>
    <rPh sb="4" eb="5">
      <t>リョウ</t>
    </rPh>
    <rPh sb="5" eb="6">
      <t>カネ</t>
    </rPh>
    <rPh sb="6" eb="7">
      <t>ハラ</t>
    </rPh>
    <rPh sb="7" eb="8">
      <t>アタイ</t>
    </rPh>
    <rPh sb="9" eb="10">
      <t>エン</t>
    </rPh>
    <phoneticPr fontId="4"/>
  </si>
  <si>
    <t>非規制需要料金原価（円）</t>
    <rPh sb="5" eb="6">
      <t>リョウ</t>
    </rPh>
    <rPh sb="6" eb="7">
      <t>カネ</t>
    </rPh>
    <rPh sb="7" eb="8">
      <t>ハラ</t>
    </rPh>
    <rPh sb="8" eb="9">
      <t>アタイ</t>
    </rPh>
    <rPh sb="10" eb="11">
      <t>エン</t>
    </rPh>
    <phoneticPr fontId="4"/>
  </si>
  <si>
    <t>旧特定ガス大口供給料金原価（円）</t>
    <rPh sb="0" eb="1">
      <t>キュウ</t>
    </rPh>
    <rPh sb="7" eb="9">
      <t>キョウキュウ</t>
    </rPh>
    <rPh sb="9" eb="11">
      <t>リョウキン</t>
    </rPh>
    <rPh sb="11" eb="13">
      <t>ゲンカ</t>
    </rPh>
    <rPh sb="14" eb="15">
      <t>エン</t>
    </rPh>
    <phoneticPr fontId="4"/>
  </si>
  <si>
    <t>様式第１　（第３条、第４条、第５条、第６条、第７条関係）</t>
    <rPh sb="0" eb="2">
      <t>ヨウシキ</t>
    </rPh>
    <rPh sb="2" eb="3">
      <t>ダイ</t>
    </rPh>
    <rPh sb="6" eb="7">
      <t>ダイ</t>
    </rPh>
    <rPh sb="8" eb="9">
      <t>ジョウ</t>
    </rPh>
    <rPh sb="10" eb="11">
      <t>ダイ</t>
    </rPh>
    <rPh sb="12" eb="13">
      <t>ジョウ</t>
    </rPh>
    <rPh sb="14" eb="15">
      <t>ダイ</t>
    </rPh>
    <rPh sb="16" eb="17">
      <t>ジョウ</t>
    </rPh>
    <rPh sb="18" eb="19">
      <t>ダイ</t>
    </rPh>
    <rPh sb="20" eb="21">
      <t>ジョウ</t>
    </rPh>
    <rPh sb="22" eb="23">
      <t>ダイ</t>
    </rPh>
    <rPh sb="24" eb="25">
      <t>ジョウ</t>
    </rPh>
    <rPh sb="25" eb="27">
      <t>カンケイ</t>
    </rPh>
    <phoneticPr fontId="4"/>
  </si>
  <si>
    <t>ガ ス の 販 売 量</t>
    <phoneticPr fontId="4"/>
  </si>
  <si>
    <t>　１供給地点当たり月平均販売量(a1)　×　供給地点数(a2)　×　１２　= 　ガスの販売量(A)</t>
    <phoneticPr fontId="4"/>
  </si>
  <si>
    <t>㎥／月</t>
    <phoneticPr fontId="4"/>
  </si>
  <si>
    <t>有形固定資産投資額</t>
    <phoneticPr fontId="4"/>
  </si>
  <si>
    <t>特定製造所別</t>
  </si>
  <si>
    <t>１</t>
  </si>
  <si>
    <t>２</t>
  </si>
  <si>
    <t>備考</t>
    <phoneticPr fontId="4"/>
  </si>
  <si>
    <t>土</t>
    <rPh sb="0" eb="1">
      <t>ツチ</t>
    </rPh>
    <phoneticPr fontId="4"/>
  </si>
  <si>
    <t>項　　目</t>
    <rPh sb="0" eb="1">
      <t>コウ</t>
    </rPh>
    <rPh sb="3" eb="4">
      <t>メ</t>
    </rPh>
    <phoneticPr fontId="4"/>
  </si>
  <si>
    <t>取 得 年 月 日</t>
    <phoneticPr fontId="4"/>
  </si>
  <si>
    <t>取得面積 　　　　　</t>
    <phoneticPr fontId="4"/>
  </si>
  <si>
    <t>　   　 (b1)</t>
    <phoneticPr fontId="4"/>
  </si>
  <si>
    <t xml:space="preserve">取得価額              </t>
    <rPh sb="3" eb="4">
      <t>ガク</t>
    </rPh>
    <phoneticPr fontId="4"/>
  </si>
  <si>
    <t>　  　  (b2)</t>
    <phoneticPr fontId="4"/>
  </si>
  <si>
    <t>地</t>
  </si>
  <si>
    <t>1㎡当り取得価額
(b2/b1)　　　    　 (b3)</t>
    <rPh sb="2" eb="3">
      <t>アタ</t>
    </rPh>
    <rPh sb="4" eb="6">
      <t>シュトク</t>
    </rPh>
    <rPh sb="6" eb="8">
      <t>カガク</t>
    </rPh>
    <phoneticPr fontId="4"/>
  </si>
  <si>
    <t xml:space="preserve">所要面積               </t>
    <phoneticPr fontId="4"/>
  </si>
  <si>
    <t>　  　  (b4)</t>
    <phoneticPr fontId="4"/>
  </si>
  <si>
    <t xml:space="preserve">土地投資額         </t>
    <rPh sb="0" eb="2">
      <t>トチ</t>
    </rPh>
    <phoneticPr fontId="4"/>
  </si>
  <si>
    <t xml:space="preserve">  (b3×ｂ4)</t>
    <phoneticPr fontId="4"/>
  </si>
  <si>
    <t>建　物　及　び　償　却　資　産</t>
    <rPh sb="0" eb="1">
      <t>ケン</t>
    </rPh>
    <rPh sb="2" eb="3">
      <t>モノ</t>
    </rPh>
    <rPh sb="4" eb="5">
      <t>オヨ</t>
    </rPh>
    <rPh sb="8" eb="9">
      <t>ショウ</t>
    </rPh>
    <rPh sb="10" eb="11">
      <t>キャク</t>
    </rPh>
    <rPh sb="12" eb="13">
      <t>シ</t>
    </rPh>
    <rPh sb="14" eb="15">
      <t>サン</t>
    </rPh>
    <phoneticPr fontId="4"/>
  </si>
  <si>
    <t>投資額内訳</t>
  </si>
  <si>
    <t>１供給地点
当たり投資額
（円）</t>
    <rPh sb="1" eb="3">
      <t>キョウキュウ</t>
    </rPh>
    <rPh sb="6" eb="7">
      <t>ア</t>
    </rPh>
    <rPh sb="9" eb="11">
      <t>トウシ</t>
    </rPh>
    <rPh sb="11" eb="12">
      <t>ガク</t>
    </rPh>
    <rPh sb="14" eb="15">
      <t>エン</t>
    </rPh>
    <phoneticPr fontId="4"/>
  </si>
  <si>
    <t xml:space="preserve">供給地点数
</t>
    <rPh sb="0" eb="2">
      <t>キョウキュウ</t>
    </rPh>
    <phoneticPr fontId="4"/>
  </si>
  <si>
    <t>投　資　額①
（円）</t>
    <rPh sb="8" eb="9">
      <t>エン</t>
    </rPh>
    <phoneticPr fontId="4"/>
  </si>
  <si>
    <t>投　資　額②
（円）</t>
    <rPh sb="8" eb="9">
      <t>エン</t>
    </rPh>
    <phoneticPr fontId="4"/>
  </si>
  <si>
    <t>建                物</t>
    <phoneticPr fontId="4"/>
  </si>
  <si>
    <t>-</t>
    <phoneticPr fontId="4"/>
  </si>
  <si>
    <t>構       築       物</t>
    <phoneticPr fontId="4"/>
  </si>
  <si>
    <t>集    合    装    置</t>
    <phoneticPr fontId="4"/>
  </si>
  <si>
    <t>容                器</t>
    <phoneticPr fontId="4"/>
  </si>
  <si>
    <t>導</t>
    <phoneticPr fontId="4"/>
  </si>
  <si>
    <t>共同
住宅</t>
    <rPh sb="3" eb="4">
      <t>ジュウ</t>
    </rPh>
    <rPh sb="4" eb="5">
      <t>タク</t>
    </rPh>
    <phoneticPr fontId="4"/>
  </si>
  <si>
    <t>導管取替(B④)</t>
    <rPh sb="0" eb="2">
      <t>ドウカン</t>
    </rPh>
    <rPh sb="2" eb="4">
      <t>トリカエ</t>
    </rPh>
    <phoneticPr fontId="4"/>
  </si>
  <si>
    <t>上記以外</t>
    <rPh sb="0" eb="2">
      <t>ジョウキ</t>
    </rPh>
    <rPh sb="2" eb="4">
      <t>イガイ</t>
    </rPh>
    <phoneticPr fontId="4"/>
  </si>
  <si>
    <t>管</t>
    <rPh sb="0" eb="1">
      <t>カン</t>
    </rPh>
    <phoneticPr fontId="4"/>
  </si>
  <si>
    <t>単独
住宅</t>
    <rPh sb="3" eb="4">
      <t>ジュウ</t>
    </rPh>
    <rPh sb="4" eb="5">
      <t>タク</t>
    </rPh>
    <phoneticPr fontId="4"/>
  </si>
  <si>
    <t>導管取替(B⑤)</t>
    <rPh sb="0" eb="2">
      <t>ドウカン</t>
    </rPh>
    <rPh sb="2" eb="4">
      <t>トリカエ</t>
    </rPh>
    <phoneticPr fontId="4"/>
  </si>
  <si>
    <t>メ    ー    タ    ー</t>
    <phoneticPr fontId="4"/>
  </si>
  <si>
    <t>備　   　　　 　　品</t>
    <phoneticPr fontId="4"/>
  </si>
  <si>
    <t xml:space="preserve"> 投資額①計       (B②)</t>
    <phoneticPr fontId="4"/>
  </si>
  <si>
    <t xml:space="preserve"> 投資額②計　     (B③)</t>
    <phoneticPr fontId="4"/>
  </si>
  <si>
    <t xml:space="preserve"> 小　　　計        B⑦(＝B②＋B③)</t>
    <phoneticPr fontId="4"/>
  </si>
  <si>
    <t>　 合　　　計           B  (＝B①＋B⑦)</t>
    <phoneticPr fontId="4"/>
  </si>
  <si>
    <t>標準値</t>
  </si>
  <si>
    <t>北海道</t>
  </si>
  <si>
    <t>青森県</t>
  </si>
  <si>
    <t>岩手県</t>
  </si>
  <si>
    <t>宮城県</t>
  </si>
  <si>
    <t>秋田県</t>
  </si>
  <si>
    <t>山形県</t>
  </si>
  <si>
    <t>福島県</t>
  </si>
  <si>
    <t>茨城県</t>
  </si>
  <si>
    <t>栃木県</t>
  </si>
  <si>
    <t>群馬県</t>
  </si>
  <si>
    <t>埼玉県</t>
  </si>
  <si>
    <t>千葉県</t>
  </si>
  <si>
    <t>東京都</t>
  </si>
  <si>
    <t>神奈川県</t>
  </si>
  <si>
    <t>新潟県</t>
  </si>
  <si>
    <t>富山県</t>
  </si>
  <si>
    <t>石川県</t>
  </si>
  <si>
    <t>福井県</t>
  </si>
  <si>
    <t>山梨県</t>
  </si>
  <si>
    <t>長野県</t>
  </si>
  <si>
    <t>岐阜県</t>
  </si>
  <si>
    <t>静岡県</t>
  </si>
  <si>
    <t>愛知県</t>
  </si>
  <si>
    <t>三重県</t>
  </si>
  <si>
    <t>滋賀県</t>
  </si>
  <si>
    <t>京都府</t>
  </si>
  <si>
    <t>大阪府</t>
  </si>
  <si>
    <t>兵庫県</t>
  </si>
  <si>
    <t>奈良県</t>
  </si>
  <si>
    <t>和歌山県</t>
  </si>
  <si>
    <t>鳥取県</t>
  </si>
  <si>
    <t>島根県</t>
  </si>
  <si>
    <t>岡山県</t>
  </si>
  <si>
    <t>広島県</t>
  </si>
  <si>
    <t>山口県</t>
  </si>
  <si>
    <t>徳島県</t>
  </si>
  <si>
    <t>香川県</t>
  </si>
  <si>
    <t>愛媛県</t>
  </si>
  <si>
    <t>高知県</t>
  </si>
  <si>
    <t>福岡県</t>
  </si>
  <si>
    <t>佐賀県</t>
  </si>
  <si>
    <t>長崎県</t>
  </si>
  <si>
    <t>熊本県</t>
  </si>
  <si>
    <t>大分県</t>
  </si>
  <si>
    <t>宮崎県</t>
  </si>
  <si>
    <t>鹿児島県</t>
  </si>
  <si>
    <t>沖縄県</t>
  </si>
  <si>
    <t>係数区分</t>
  </si>
  <si>
    <t>係数区分名</t>
  </si>
  <si>
    <t>値</t>
  </si>
  <si>
    <t>値タイプ</t>
  </si>
  <si>
    <t>分類</t>
  </si>
  <si>
    <t>数値</t>
  </si>
  <si>
    <t>所要人員数</t>
  </si>
  <si>
    <t>修繕費率</t>
  </si>
  <si>
    <t>経費率</t>
  </si>
  <si>
    <t>経費率・事業報酬率等</t>
  </si>
  <si>
    <t>事業報酬率</t>
  </si>
  <si>
    <t>固定資産税_土地</t>
  </si>
  <si>
    <t>税率等</t>
  </si>
  <si>
    <t>固定資産税_建物</t>
  </si>
  <si>
    <t>軽減係数</t>
  </si>
  <si>
    <t>軽減係数_減免措置なし</t>
  </si>
  <si>
    <t>事業税係数</t>
  </si>
  <si>
    <t>法人税</t>
  </si>
  <si>
    <t>自己資本相当分比率</t>
  </si>
  <si>
    <t>建物要及び償却資産の償却率_建物</t>
  </si>
  <si>
    <t>建物及び償却資産の償却率</t>
  </si>
  <si>
    <t>建物要及び償却資産の償却率_構築物_50容器</t>
  </si>
  <si>
    <t>建物要及び償却資産の償却率_構築物_バルク</t>
  </si>
  <si>
    <t>建物要及び償却資産の償却率_集合装置_50容器</t>
  </si>
  <si>
    <t>建物要及び償却資産の償却率_集合装置_バルク</t>
  </si>
  <si>
    <t>建物要及び償却資産の償却率_容器_50容器</t>
  </si>
  <si>
    <t>建物要及び償却資産の償却率_容器_バルク</t>
  </si>
  <si>
    <t>建物要及び償却資産の償却率_導管_炭素鋼鋼管_共同</t>
  </si>
  <si>
    <t>建物要及び償却資産の償却率_導管_炭素鋼鋼管_単独</t>
  </si>
  <si>
    <t>建物要及び償却資産の償却率_導管_ポリエチレン管_共同</t>
  </si>
  <si>
    <t>建物要及び償却資産の償却率_導管_ポリエチレン管_単独</t>
  </si>
  <si>
    <t>建物要及び償却資産の償却率_メーター</t>
  </si>
  <si>
    <t>建物要及び償却資産の償却率_備品</t>
  </si>
  <si>
    <t>車両の償却率</t>
  </si>
  <si>
    <t>道府県民税率</t>
  </si>
  <si>
    <t>市町村民税率</t>
  </si>
  <si>
    <t>建物要及び償却資産の償却率_強制気化装置</t>
  </si>
  <si>
    <t>復興特別法人税</t>
  </si>
  <si>
    <t>地方法人税</t>
  </si>
  <si>
    <t>供給70地点以上・250地点まで</t>
  </si>
  <si>
    <t>供給250地点以上・1000地点まで</t>
  </si>
  <si>
    <t>供給1000地点以上・2000地点まで</t>
  </si>
  <si>
    <t>供給2000地点以上・3000地点まで</t>
  </si>
  <si>
    <t>供給3000地点以上・4000地点まで</t>
  </si>
  <si>
    <t>供給4000地点以上・5000地点まで</t>
  </si>
  <si>
    <t>供給5000地点以上・6000地点まで</t>
  </si>
  <si>
    <t>供給6001地点以上</t>
  </si>
  <si>
    <t>貯蔵量区分ID</t>
  </si>
  <si>
    <t>貯蔵量区分名</t>
  </si>
  <si>
    <t>容器区分ID</t>
  </si>
  <si>
    <t>容器区分名</t>
  </si>
  <si>
    <t>1方向(㎡)</t>
  </si>
  <si>
    <t>2方向(㎡)</t>
  </si>
  <si>
    <t>3方向(㎡)</t>
  </si>
  <si>
    <t>4方向(㎡)</t>
  </si>
  <si>
    <t>３トン未満</t>
  </si>
  <si>
    <t>50ｷﾛｸﾞﾗﾑ容器</t>
  </si>
  <si>
    <t>貯槽(バルク)</t>
  </si>
  <si>
    <t>３トン以上５トン未満</t>
  </si>
  <si>
    <t>500ｷﾛｸﾞﾗﾑ容器</t>
  </si>
  <si>
    <t>５トン以上７トン未満</t>
  </si>
  <si>
    <t>７トン以上９トン未満</t>
  </si>
  <si>
    <t>９トン以上１０トン未満</t>
  </si>
  <si>
    <t>１０トン以上１５トン未満</t>
  </si>
  <si>
    <t>１５トン以上２０トン未満</t>
  </si>
  <si>
    <t>２０トン以上３０トン未満</t>
  </si>
  <si>
    <t>３０トン</t>
  </si>
  <si>
    <t>建物</t>
  </si>
  <si>
    <t>構築物</t>
  </si>
  <si>
    <t>集合装置</t>
  </si>
  <si>
    <t>容器</t>
  </si>
  <si>
    <t>導管・鋼管共同</t>
  </si>
  <si>
    <t>導管・ＰＥ共同</t>
  </si>
  <si>
    <t>導管・鋼管単独</t>
  </si>
  <si>
    <t>導管・ＰＥ単独</t>
  </si>
  <si>
    <t>メーター</t>
  </si>
  <si>
    <t>備品</t>
  </si>
  <si>
    <t>構築物・バルク</t>
  </si>
  <si>
    <t>集合装置・バルク</t>
  </si>
  <si>
    <t>容器・バルク</t>
  </si>
  <si>
    <t>強制気化装置</t>
  </si>
  <si>
    <t>単独住宅</t>
  </si>
  <si>
    <t>共同住宅</t>
  </si>
  <si>
    <t>甲地</t>
  </si>
  <si>
    <t>乙地</t>
  </si>
  <si>
    <t>丙地</t>
  </si>
  <si>
    <t>配分比率ID</t>
  </si>
  <si>
    <t>配分項目</t>
  </si>
  <si>
    <t>配分比率</t>
  </si>
  <si>
    <t>供給需要原価(本支管分)</t>
  </si>
  <si>
    <t>需要家原価(供給管分)</t>
  </si>
  <si>
    <t>都道府県名</t>
  </si>
  <si>
    <t>需要群名</t>
  </si>
  <si>
    <t>延調定数比率</t>
  </si>
  <si>
    <t>年間ガス販売量比率</t>
  </si>
  <si>
    <t>ピーク月販売量比率</t>
  </si>
  <si>
    <t>メーター通過量比率</t>
  </si>
  <si>
    <t>A群</t>
  </si>
  <si>
    <t>B群</t>
  </si>
  <si>
    <t>C群</t>
  </si>
  <si>
    <t>都道府県名</t>
    <phoneticPr fontId="2"/>
  </si>
  <si>
    <t>都道府県コード</t>
    <phoneticPr fontId="2"/>
  </si>
  <si>
    <t>換算係数</t>
    <rPh sb="0" eb="4">
      <t>カンサn</t>
    </rPh>
    <phoneticPr fontId="2"/>
  </si>
  <si>
    <t>産気率</t>
    <rPh sb="0" eb="3">
      <t>サンキ</t>
    </rPh>
    <phoneticPr fontId="2"/>
  </si>
  <si>
    <t>※1:甲地、2：乙地、3：丙地</t>
  </si>
  <si>
    <t>適用区域コード</t>
    <phoneticPr fontId="2"/>
  </si>
  <si>
    <t>適用区域名</t>
    <phoneticPr fontId="2"/>
  </si>
  <si>
    <t>※1:導管配分比率表 2:労務費及び車両配分比率表</t>
  </si>
  <si>
    <t>表ID</t>
    <phoneticPr fontId="2"/>
  </si>
  <si>
    <t>配分比率</t>
    <rPh sb="0" eb="4">
      <t>ハイブn</t>
    </rPh>
    <phoneticPr fontId="2"/>
  </si>
  <si>
    <t>１供給地点当たり建物及び償却資産投資額の標準投資額</t>
    <phoneticPr fontId="2"/>
  </si>
  <si>
    <t>単位販売量/労務費/換算係数/産気率</t>
    <rPh sb="0" eb="5">
      <t>タンイ</t>
    </rPh>
    <rPh sb="6" eb="9">
      <t>ロウム</t>
    </rPh>
    <rPh sb="10" eb="14">
      <t>カンサn</t>
    </rPh>
    <rPh sb="15" eb="18">
      <t>サンキ</t>
    </rPh>
    <phoneticPr fontId="2"/>
  </si>
  <si>
    <t>適用開始</t>
    <phoneticPr fontId="2"/>
  </si>
  <si>
    <t>適用終了</t>
    <phoneticPr fontId="2"/>
  </si>
  <si>
    <t>分類ID</t>
    <rPh sb="0" eb="2">
      <t>ブンルイ</t>
    </rPh>
    <phoneticPr fontId="2"/>
  </si>
  <si>
    <t>11</t>
  </si>
  <si>
    <t>13</t>
  </si>
  <si>
    <t>21</t>
  </si>
  <si>
    <t>22</t>
  </si>
  <si>
    <t>23</t>
  </si>
  <si>
    <t>31</t>
  </si>
  <si>
    <t>32</t>
  </si>
  <si>
    <t>33</t>
  </si>
  <si>
    <t>41</t>
  </si>
  <si>
    <t>42</t>
  </si>
  <si>
    <t>43</t>
  </si>
  <si>
    <t>52</t>
  </si>
  <si>
    <t>53</t>
  </si>
  <si>
    <t>63</t>
  </si>
  <si>
    <t>73</t>
  </si>
  <si>
    <t>83</t>
  </si>
  <si>
    <t>93</t>
  </si>
  <si>
    <t>供給約款</t>
    <rPh sb="0" eb="4">
      <t>キョウキュウ</t>
    </rPh>
    <phoneticPr fontId="2"/>
  </si>
  <si>
    <t>合計</t>
    <rPh sb="0" eb="2">
      <t>ゴウケイ</t>
    </rPh>
    <phoneticPr fontId="2"/>
  </si>
  <si>
    <t>特定大口</t>
    <rPh sb="0" eb="4">
      <t>トクテイ</t>
    </rPh>
    <phoneticPr fontId="2"/>
  </si>
  <si>
    <t>需要家数（件/月）</t>
    <rPh sb="0" eb="3">
      <t>ジュヨウ</t>
    </rPh>
    <rPh sb="3" eb="4">
      <t>ty</t>
    </rPh>
    <rPh sb="5" eb="6">
      <t xml:space="preserve">ケン </t>
    </rPh>
    <rPh sb="7" eb="8">
      <t xml:space="preserve">ツキ </t>
    </rPh>
    <phoneticPr fontId="2"/>
  </si>
  <si>
    <t>需要家数（件/年）</t>
    <rPh sb="0" eb="4">
      <t>ジュヨウ</t>
    </rPh>
    <rPh sb="5" eb="6">
      <t xml:space="preserve">ケン </t>
    </rPh>
    <phoneticPr fontId="2"/>
  </si>
  <si>
    <t>ピーク月使用量（m3/月）</t>
    <rPh sb="4" eb="7">
      <t>シヨウリョウ</t>
    </rPh>
    <rPh sb="11" eb="12">
      <t xml:space="preserve">ツキ </t>
    </rPh>
    <phoneticPr fontId="2"/>
  </si>
  <si>
    <t>延通過量（m3/年）</t>
    <rPh sb="0" eb="3">
      <t>ノベツウク</t>
    </rPh>
    <rPh sb="3" eb="4">
      <t>リョウ</t>
    </rPh>
    <phoneticPr fontId="2"/>
  </si>
  <si>
    <t>平均販売量（m3/月・件）</t>
    <rPh sb="0" eb="2">
      <t>ヘイキn</t>
    </rPh>
    <rPh sb="2" eb="5">
      <t>ハンバイ</t>
    </rPh>
    <rPh sb="9" eb="10">
      <t xml:space="preserve">ツキ </t>
    </rPh>
    <rPh sb="11" eb="12">
      <t xml:space="preserve">ケン </t>
    </rPh>
    <phoneticPr fontId="2"/>
  </si>
  <si>
    <t>メーター能力（m3/台）</t>
    <rPh sb="4" eb="6">
      <t>ノウリョク</t>
    </rPh>
    <rPh sb="10" eb="11">
      <t xml:space="preserve">ダイ </t>
    </rPh>
    <phoneticPr fontId="2"/>
  </si>
  <si>
    <t>Yes=1,No=0</t>
    <phoneticPr fontId="2"/>
  </si>
  <si>
    <t>販売量情報入力シート</t>
    <rPh sb="0" eb="3">
      <t>ハンバイ</t>
    </rPh>
    <rPh sb="3" eb="5">
      <t>ジョウホウ</t>
    </rPh>
    <rPh sb="5" eb="7">
      <t>ニュウリョク</t>
    </rPh>
    <phoneticPr fontId="2"/>
  </si>
  <si>
    <t>土地情報入力シート</t>
    <rPh sb="0" eb="2">
      <t>トチ</t>
    </rPh>
    <rPh sb="2" eb="6">
      <t>ジョウホウ</t>
    </rPh>
    <phoneticPr fontId="2"/>
  </si>
  <si>
    <t>取得年月日</t>
    <rPh sb="0" eb="5">
      <t>シュトク</t>
    </rPh>
    <phoneticPr fontId="2"/>
  </si>
  <si>
    <t>取得価格（円）</t>
    <rPh sb="0" eb="2">
      <t>シュトク</t>
    </rPh>
    <rPh sb="2" eb="4">
      <t>カカク</t>
    </rPh>
    <rPh sb="5" eb="6">
      <t>エn</t>
    </rPh>
    <phoneticPr fontId="2"/>
  </si>
  <si>
    <t>1m2あたり取得価格</t>
    <rPh sb="6" eb="8">
      <t>シュトク</t>
    </rPh>
    <rPh sb="8" eb="10">
      <t xml:space="preserve">カカク </t>
    </rPh>
    <phoneticPr fontId="2"/>
  </si>
  <si>
    <t>取得面積（m2）</t>
    <rPh sb="0" eb="4">
      <t>シュトク</t>
    </rPh>
    <phoneticPr fontId="2"/>
  </si>
  <si>
    <t>離隔方向</t>
    <rPh sb="0" eb="4">
      <t>リカク</t>
    </rPh>
    <phoneticPr fontId="2"/>
  </si>
  <si>
    <t>土地評価額</t>
    <rPh sb="0" eb="5">
      <t>トチ</t>
    </rPh>
    <phoneticPr fontId="2"/>
  </si>
  <si>
    <t>1m2あたり評価額</t>
    <rPh sb="6" eb="7">
      <t>ヒョウカ</t>
    </rPh>
    <rPh sb="7" eb="8">
      <t xml:space="preserve">カカク </t>
    </rPh>
    <rPh sb="8" eb="9">
      <t xml:space="preserve">ガク </t>
    </rPh>
    <phoneticPr fontId="2"/>
  </si>
  <si>
    <t>評価額（円）</t>
    <rPh sb="0" eb="3">
      <t>ヒョウカ</t>
    </rPh>
    <rPh sb="4" eb="5">
      <t>エn</t>
    </rPh>
    <phoneticPr fontId="2"/>
  </si>
  <si>
    <t>No.</t>
    <phoneticPr fontId="2"/>
  </si>
  <si>
    <t>土地投資額</t>
    <rPh sb="0" eb="5">
      <t>トチ</t>
    </rPh>
    <phoneticPr fontId="2"/>
  </si>
  <si>
    <t>所在地等</t>
    <rPh sb="0" eb="3">
      <t>ショザイ</t>
    </rPh>
    <rPh sb="3" eb="4">
      <t xml:space="preserve">ナド </t>
    </rPh>
    <phoneticPr fontId="2"/>
  </si>
  <si>
    <t>分類名</t>
    <rPh sb="0" eb="3">
      <t>ブンルイ</t>
    </rPh>
    <phoneticPr fontId="2"/>
  </si>
  <si>
    <t>建物及び償却資産入力シート</t>
    <rPh sb="0" eb="2">
      <t>タテモノ</t>
    </rPh>
    <rPh sb="2" eb="3">
      <t xml:space="preserve">オヨビ </t>
    </rPh>
    <rPh sb="4" eb="8">
      <t>ショウキャクシサn</t>
    </rPh>
    <rPh sb="8" eb="10">
      <t>ニュウリョク</t>
    </rPh>
    <phoneticPr fontId="2"/>
  </si>
  <si>
    <t>項目</t>
    <rPh sb="0" eb="2">
      <t>コウモク</t>
    </rPh>
    <phoneticPr fontId="2"/>
  </si>
  <si>
    <t>供給地点数</t>
    <rPh sb="0" eb="5">
      <t>キョウキュウ</t>
    </rPh>
    <phoneticPr fontId="2"/>
  </si>
  <si>
    <t>単位投資額</t>
    <rPh sb="0" eb="5">
      <t>タンイ</t>
    </rPh>
    <phoneticPr fontId="2"/>
  </si>
  <si>
    <t>投資額①</t>
    <rPh sb="0" eb="3">
      <t>トウセィ</t>
    </rPh>
    <phoneticPr fontId="2"/>
  </si>
  <si>
    <t>投資額②</t>
    <rPh sb="0" eb="3">
      <t>トウセィ</t>
    </rPh>
    <phoneticPr fontId="2"/>
  </si>
  <si>
    <t>修繕費</t>
    <rPh sb="0" eb="3">
      <t>シュウゼn</t>
    </rPh>
    <phoneticPr fontId="2"/>
  </si>
  <si>
    <t>償却率</t>
    <rPh sb="0" eb="3">
      <t>ショウキャク</t>
    </rPh>
    <phoneticPr fontId="2"/>
  </si>
  <si>
    <t>減価償却費</t>
    <rPh sb="0" eb="5">
      <t>ゲンカショウキャク</t>
    </rPh>
    <phoneticPr fontId="2"/>
  </si>
  <si>
    <t>１供給地点当たりの車両の標準投資額</t>
    <phoneticPr fontId="2"/>
  </si>
  <si>
    <t>期間ID</t>
    <rPh sb="0" eb="2">
      <t>キカn</t>
    </rPh>
    <phoneticPr fontId="2"/>
  </si>
  <si>
    <t>HK01</t>
    <phoneticPr fontId="2"/>
  </si>
  <si>
    <t>HK02</t>
    <phoneticPr fontId="2"/>
  </si>
  <si>
    <t>HK03</t>
  </si>
  <si>
    <t>HK04</t>
  </si>
  <si>
    <t>HK05</t>
  </si>
  <si>
    <t>HK06</t>
  </si>
  <si>
    <t>HK07</t>
  </si>
  <si>
    <t>HK08</t>
  </si>
  <si>
    <t>HK09</t>
  </si>
  <si>
    <t>HK10</t>
  </si>
  <si>
    <t>HK11</t>
  </si>
  <si>
    <t>HK12</t>
  </si>
  <si>
    <t>HK13</t>
  </si>
  <si>
    <t>HK14</t>
  </si>
  <si>
    <t>HK15</t>
  </si>
  <si>
    <t>HK16</t>
  </si>
  <si>
    <t>HK17</t>
  </si>
  <si>
    <t>HK18</t>
  </si>
  <si>
    <t>HK19</t>
  </si>
  <si>
    <t>TTM</t>
  </si>
  <si>
    <t>TTM</t>
    <phoneticPr fontId="2"/>
  </si>
  <si>
    <t>KCB</t>
  </si>
  <si>
    <t>KCB</t>
    <phoneticPr fontId="2"/>
  </si>
  <si>
    <t>SGS</t>
  </si>
  <si>
    <t>SGS</t>
    <phoneticPr fontId="2"/>
  </si>
  <si>
    <t>YKI</t>
  </si>
  <si>
    <t>YKI</t>
    <phoneticPr fontId="2"/>
  </si>
  <si>
    <t>DKK</t>
  </si>
  <si>
    <t>DKK</t>
    <phoneticPr fontId="2"/>
  </si>
  <si>
    <t>DPK</t>
  </si>
  <si>
    <t>DPK</t>
    <phoneticPr fontId="2"/>
  </si>
  <si>
    <t>DKT</t>
  </si>
  <si>
    <t>DKT</t>
    <phoneticPr fontId="2"/>
  </si>
  <si>
    <t>MTR</t>
  </si>
  <si>
    <t>MTR</t>
    <phoneticPr fontId="2"/>
  </si>
  <si>
    <t>BHN</t>
  </si>
  <si>
    <t>BHN</t>
    <phoneticPr fontId="2"/>
  </si>
  <si>
    <t>SSB</t>
  </si>
  <si>
    <t>SSB</t>
    <phoneticPr fontId="2"/>
  </si>
  <si>
    <t>YKB</t>
  </si>
  <si>
    <t>YKB</t>
    <phoneticPr fontId="2"/>
  </si>
  <si>
    <t>KKS</t>
  </si>
  <si>
    <t>KKS</t>
    <phoneticPr fontId="2"/>
  </si>
  <si>
    <t>CA1</t>
    <phoneticPr fontId="2"/>
  </si>
  <si>
    <t>CA2</t>
    <phoneticPr fontId="2"/>
  </si>
  <si>
    <t>CA3</t>
    <phoneticPr fontId="2"/>
  </si>
  <si>
    <t>CA4</t>
    <phoneticPr fontId="2"/>
  </si>
  <si>
    <t>CA5</t>
    <phoneticPr fontId="2"/>
  </si>
  <si>
    <t>CA6</t>
    <phoneticPr fontId="2"/>
  </si>
  <si>
    <t>CA7</t>
    <phoneticPr fontId="2"/>
  </si>
  <si>
    <t>CA8</t>
    <phoneticPr fontId="2"/>
  </si>
  <si>
    <t>項目記号</t>
    <rPh sb="0" eb="2">
      <t>コウモク</t>
    </rPh>
    <rPh sb="2" eb="4">
      <t>キゴウ</t>
    </rPh>
    <phoneticPr fontId="2"/>
  </si>
  <si>
    <t>項目記号</t>
    <rPh sb="0" eb="4">
      <t>コウモク</t>
    </rPh>
    <phoneticPr fontId="2"/>
  </si>
  <si>
    <t>適用開始日</t>
    <rPh sb="0" eb="5">
      <t>テキヨウ</t>
    </rPh>
    <phoneticPr fontId="2"/>
  </si>
  <si>
    <t>DPT</t>
  </si>
  <si>
    <t>DPT</t>
    <phoneticPr fontId="2"/>
  </si>
  <si>
    <t>減免対象</t>
    <rPh sb="0" eb="2">
      <t>ゲンメn</t>
    </rPh>
    <rPh sb="2" eb="4">
      <t>タイショウ</t>
    </rPh>
    <phoneticPr fontId="2"/>
  </si>
  <si>
    <t>0:減免しない</t>
    <rPh sb="2" eb="4">
      <t>ゲンメn</t>
    </rPh>
    <phoneticPr fontId="2"/>
  </si>
  <si>
    <t>1:減免する</t>
    <rPh sb="2" eb="4">
      <t>ゲンメn</t>
    </rPh>
    <phoneticPr fontId="2"/>
  </si>
  <si>
    <t>減免サイン</t>
    <rPh sb="0" eb="2">
      <t>ゲンメn</t>
    </rPh>
    <phoneticPr fontId="2"/>
  </si>
  <si>
    <t>取得年月日</t>
    <rPh sb="0" eb="2">
      <t>シュトク</t>
    </rPh>
    <rPh sb="2" eb="5">
      <t>ジッセィ</t>
    </rPh>
    <phoneticPr fontId="2"/>
  </si>
  <si>
    <t>0:非対象</t>
    <rPh sb="2" eb="5">
      <t>ヒタイ</t>
    </rPh>
    <phoneticPr fontId="2"/>
  </si>
  <si>
    <t>1:対象</t>
    <rPh sb="2" eb="4">
      <t>タイセィオ</t>
    </rPh>
    <phoneticPr fontId="2"/>
  </si>
  <si>
    <t>建物</t>
    <rPh sb="0" eb="2">
      <t>タテモノ</t>
    </rPh>
    <phoneticPr fontId="2"/>
  </si>
  <si>
    <t>構築物</t>
    <rPh sb="0" eb="3">
      <t>コウチク</t>
    </rPh>
    <phoneticPr fontId="2"/>
  </si>
  <si>
    <t>集合装置</t>
    <rPh sb="0" eb="4">
      <t>シュウゴウ</t>
    </rPh>
    <phoneticPr fontId="2"/>
  </si>
  <si>
    <t>容器</t>
    <rPh sb="0" eb="2">
      <t>ヨウキ</t>
    </rPh>
    <phoneticPr fontId="2"/>
  </si>
  <si>
    <t>メーター</t>
    <phoneticPr fontId="2"/>
  </si>
  <si>
    <t>備品</t>
    <rPh sb="0" eb="2">
      <t>ビヒn</t>
    </rPh>
    <phoneticPr fontId="2"/>
  </si>
  <si>
    <t>導管_共同</t>
    <rPh sb="0" eb="2">
      <t>ドウカn</t>
    </rPh>
    <rPh sb="3" eb="5">
      <t>キョウドウ</t>
    </rPh>
    <phoneticPr fontId="2"/>
  </si>
  <si>
    <t>導管_単独</t>
    <rPh sb="0" eb="2">
      <t>ドウカn</t>
    </rPh>
    <rPh sb="3" eb="5">
      <t>タンドク</t>
    </rPh>
    <phoneticPr fontId="2"/>
  </si>
  <si>
    <t>KBB</t>
    <phoneticPr fontId="2"/>
  </si>
  <si>
    <t>集計科目</t>
    <rPh sb="0" eb="1">
      <t>シュウケイ</t>
    </rPh>
    <phoneticPr fontId="2"/>
  </si>
  <si>
    <t>項目記号</t>
    <rPh sb="0" eb="4">
      <t>コウモ</t>
    </rPh>
    <phoneticPr fontId="2"/>
  </si>
  <si>
    <t>-</t>
    <phoneticPr fontId="2"/>
  </si>
  <si>
    <t>修繕費率</t>
    <rPh sb="0" eb="1">
      <t>シュウゼンヒル</t>
    </rPh>
    <phoneticPr fontId="2"/>
  </si>
  <si>
    <t>投資額基礎</t>
    <rPh sb="0" eb="3">
      <t>トウセィ</t>
    </rPh>
    <rPh sb="3" eb="5">
      <t>キソ</t>
    </rPh>
    <phoneticPr fontId="2"/>
  </si>
  <si>
    <t>地点数</t>
    <rPh sb="0" eb="3">
      <t>チテn</t>
    </rPh>
    <phoneticPr fontId="2"/>
  </si>
  <si>
    <t>【項目別集計】</t>
    <rPh sb="1" eb="6">
      <t>コウモ</t>
    </rPh>
    <phoneticPr fontId="2"/>
  </si>
  <si>
    <t>【科目別集計】</t>
    <rPh sb="1" eb="3">
      <t>カモク</t>
    </rPh>
    <rPh sb="3" eb="6">
      <t>コウモ</t>
    </rPh>
    <phoneticPr fontId="2"/>
  </si>
  <si>
    <t>【期間テーブル】</t>
    <rPh sb="1" eb="3">
      <t>キカn</t>
    </rPh>
    <phoneticPr fontId="2"/>
  </si>
  <si>
    <t>標準係数</t>
    <rPh sb="0" eb="4">
      <t>ヒョウジュn</t>
    </rPh>
    <phoneticPr fontId="2"/>
  </si>
  <si>
    <t>算出方法</t>
    <rPh sb="0" eb="4">
      <t>サンシュテゥ</t>
    </rPh>
    <phoneticPr fontId="2"/>
  </si>
  <si>
    <t>0:標準係数</t>
    <rPh sb="2" eb="6">
      <t>ヒョウジュn</t>
    </rPh>
    <phoneticPr fontId="2"/>
  </si>
  <si>
    <t>1:実績</t>
    <rPh sb="2" eb="4">
      <t>ジッセキ</t>
    </rPh>
    <phoneticPr fontId="2"/>
  </si>
  <si>
    <t>実績投資額</t>
    <rPh sb="0" eb="5">
      <t>ジッセキ</t>
    </rPh>
    <phoneticPr fontId="2"/>
  </si>
  <si>
    <t>修繕費率</t>
    <phoneticPr fontId="2"/>
  </si>
  <si>
    <t>円</t>
    <rPh sb="0" eb="1">
      <t>エn</t>
    </rPh>
    <phoneticPr fontId="2"/>
  </si>
  <si>
    <t>所要面積（m2）</t>
    <rPh sb="0" eb="2">
      <t>ショヨウ</t>
    </rPh>
    <rPh sb="2" eb="4">
      <t>ショヨウ</t>
    </rPh>
    <phoneticPr fontId="2"/>
  </si>
  <si>
    <t>単価</t>
    <rPh sb="0" eb="2">
      <t>タンカ</t>
    </rPh>
    <phoneticPr fontId="2"/>
  </si>
  <si>
    <t>道路占用料</t>
    <rPh sb="0" eb="5">
      <t>ドウロ</t>
    </rPh>
    <phoneticPr fontId="2"/>
  </si>
  <si>
    <t>共同住宅</t>
    <rPh sb="0" eb="4">
      <t>キョウドウ</t>
    </rPh>
    <phoneticPr fontId="2"/>
  </si>
  <si>
    <t>単独住宅</t>
    <rPh sb="0" eb="4">
      <t>タンドク</t>
    </rPh>
    <phoneticPr fontId="2"/>
  </si>
  <si>
    <t>地点数</t>
    <rPh sb="0" eb="3">
      <t>チテンス</t>
    </rPh>
    <phoneticPr fontId="2"/>
  </si>
  <si>
    <t>占用料</t>
    <rPh sb="0" eb="3">
      <t>センヨウ</t>
    </rPh>
    <phoneticPr fontId="2"/>
  </si>
  <si>
    <t>車両の償却率</t>
    <phoneticPr fontId="2"/>
  </si>
  <si>
    <t>最大値</t>
    <rPh sb="0" eb="1">
      <t>サイダイ</t>
    </rPh>
    <phoneticPr fontId="2"/>
  </si>
  <si>
    <t>取得時期</t>
    <rPh sb="0" eb="2">
      <t>シュトク</t>
    </rPh>
    <rPh sb="2" eb="4">
      <t>j</t>
    </rPh>
    <phoneticPr fontId="2"/>
  </si>
  <si>
    <t>該当係数</t>
    <rPh sb="0" eb="2">
      <t>ガイトウ</t>
    </rPh>
    <rPh sb="2" eb="4">
      <t>ケイスウ</t>
    </rPh>
    <phoneticPr fontId="2"/>
  </si>
  <si>
    <t>投資額</t>
    <rPh sb="0" eb="3">
      <t>トウセィ</t>
    </rPh>
    <phoneticPr fontId="2"/>
  </si>
  <si>
    <t>地点数区分</t>
    <rPh sb="0" eb="5">
      <t>チテn</t>
    </rPh>
    <phoneticPr fontId="2"/>
  </si>
  <si>
    <t>原料費</t>
  </si>
  <si>
    <t>原料費</t>
    <rPh sb="0" eb="3">
      <t>ゲンリョウ</t>
    </rPh>
    <phoneticPr fontId="2"/>
  </si>
  <si>
    <t>労務費</t>
    <rPh sb="0" eb="3">
      <t>ロウム</t>
    </rPh>
    <phoneticPr fontId="2"/>
  </si>
  <si>
    <t>修繕費</t>
  </si>
  <si>
    <t>固定資産税</t>
  </si>
  <si>
    <t>租税課金</t>
    <rPh sb="0" eb="4">
      <t>ソゼイ</t>
    </rPh>
    <phoneticPr fontId="2"/>
  </si>
  <si>
    <t>その他経費</t>
  </si>
  <si>
    <t>その他経費</t>
    <phoneticPr fontId="2"/>
  </si>
  <si>
    <t>事業報酬額</t>
  </si>
  <si>
    <t>事業報酬額</t>
    <rPh sb="0" eb="5">
      <t>ジギョウ</t>
    </rPh>
    <phoneticPr fontId="2"/>
  </si>
  <si>
    <t>法人税等</t>
    <rPh sb="0" eb="4">
      <t>ホウジn</t>
    </rPh>
    <phoneticPr fontId="2"/>
  </si>
  <si>
    <t>料金算定ナビゲーター</t>
    <rPh sb="0" eb="4">
      <t>リョウキn</t>
    </rPh>
    <phoneticPr fontId="2"/>
  </si>
  <si>
    <t>基本情報</t>
    <rPh sb="0" eb="4">
      <t>キホンジョウホウ</t>
    </rPh>
    <phoneticPr fontId="2"/>
  </si>
  <si>
    <t>算定基礎</t>
    <rPh sb="0" eb="4">
      <t>サンテイ</t>
    </rPh>
    <phoneticPr fontId="2"/>
  </si>
  <si>
    <t>軽減係数の抽出</t>
    <rPh sb="0" eb="4">
      <t>ケイゲn</t>
    </rPh>
    <rPh sb="5" eb="7">
      <t>チュウシュテゥ</t>
    </rPh>
    <phoneticPr fontId="2"/>
  </si>
  <si>
    <t>道路占用料の区分</t>
    <rPh sb="0" eb="2">
      <t>ドウロ</t>
    </rPh>
    <rPh sb="2" eb="4">
      <t>センヨウ</t>
    </rPh>
    <rPh sb="4" eb="5">
      <t xml:space="preserve">リョウ </t>
    </rPh>
    <rPh sb="6" eb="8">
      <t>クブn</t>
    </rPh>
    <phoneticPr fontId="2"/>
  </si>
  <si>
    <t>インジケーター</t>
    <phoneticPr fontId="2"/>
  </si>
  <si>
    <t>項目</t>
  </si>
  <si>
    <t>設定</t>
    <rPh sb="0" eb="2">
      <t>セッテイ</t>
    </rPh>
    <phoneticPr fontId="2"/>
  </si>
  <si>
    <t>メモ</t>
    <phoneticPr fontId="2"/>
  </si>
  <si>
    <t>…車両標準係数の抽出</t>
    <phoneticPr fontId="2"/>
  </si>
  <si>
    <t>月平均販売量</t>
    <rPh sb="0" eb="6">
      <t>ツキヘイキンハ</t>
    </rPh>
    <phoneticPr fontId="2"/>
  </si>
  <si>
    <t>値</t>
    <rPh sb="0" eb="1">
      <t>アタイ</t>
    </rPh>
    <phoneticPr fontId="2"/>
  </si>
  <si>
    <t>平均労務費</t>
    <phoneticPr fontId="2"/>
  </si>
  <si>
    <t>産気率</t>
    <phoneticPr fontId="2"/>
  </si>
  <si>
    <t>法人税係数</t>
    <rPh sb="0" eb="5">
      <t>ホウジn</t>
    </rPh>
    <phoneticPr fontId="2"/>
  </si>
  <si>
    <t>道路占用料の算出</t>
    <rPh sb="0" eb="5">
      <t xml:space="preserve">ドウロセンヨウリョウノ </t>
    </rPh>
    <rPh sb="6" eb="8">
      <t>サンシュテゥ</t>
    </rPh>
    <phoneticPr fontId="2"/>
  </si>
  <si>
    <t>参照先1</t>
    <rPh sb="0" eb="3">
      <t>サンショウ</t>
    </rPh>
    <phoneticPr fontId="2"/>
  </si>
  <si>
    <t>参照先2</t>
    <rPh sb="0" eb="3">
      <t>サンショウ</t>
    </rPh>
    <phoneticPr fontId="2"/>
  </si>
  <si>
    <t>参照先3</t>
    <rPh sb="0" eb="3">
      <t>サンショウ</t>
    </rPh>
    <phoneticPr fontId="2"/>
  </si>
  <si>
    <t>ガイダンス</t>
    <phoneticPr fontId="2"/>
  </si>
  <si>
    <t>販売量</t>
    <rPh sb="0" eb="3">
      <t>ハンバイ</t>
    </rPh>
    <phoneticPr fontId="2"/>
  </si>
  <si>
    <t>土地</t>
    <rPh sb="0" eb="2">
      <t>トチ</t>
    </rPh>
    <phoneticPr fontId="2"/>
  </si>
  <si>
    <t>車両</t>
    <rPh sb="0" eb="2">
      <t>シャリョウ</t>
    </rPh>
    <phoneticPr fontId="2"/>
  </si>
  <si>
    <t>1.販売量</t>
    <rPh sb="2" eb="5">
      <t>ハンバイ</t>
    </rPh>
    <phoneticPr fontId="2"/>
  </si>
  <si>
    <t>2.土地</t>
    <rPh sb="2" eb="4">
      <t>トチ</t>
    </rPh>
    <phoneticPr fontId="2"/>
  </si>
  <si>
    <t>3.償却資産</t>
    <rPh sb="2" eb="6">
      <t>ショウキャク</t>
    </rPh>
    <phoneticPr fontId="2"/>
  </si>
  <si>
    <t>4.車両</t>
    <rPh sb="2" eb="4">
      <t>シャリョウ</t>
    </rPh>
    <phoneticPr fontId="2"/>
  </si>
  <si>
    <t>5.道路占用料</t>
    <rPh sb="2" eb="4">
      <t>ドウロ</t>
    </rPh>
    <rPh sb="4" eb="6">
      <t>センヨウ</t>
    </rPh>
    <rPh sb="6" eb="7">
      <t xml:space="preserve">リョウ </t>
    </rPh>
    <phoneticPr fontId="2"/>
  </si>
  <si>
    <t>特定製造所用地を取得した場合は「土地」シートに入力する。土地がない場合、ブランクにする。</t>
    <rPh sb="0" eb="5">
      <t>トクテイ</t>
    </rPh>
    <rPh sb="5" eb="7">
      <t>ヨウ</t>
    </rPh>
    <rPh sb="8" eb="10">
      <t>シュトク</t>
    </rPh>
    <rPh sb="16" eb="18">
      <t>トチ</t>
    </rPh>
    <rPh sb="23" eb="25">
      <t>ニュウリョク</t>
    </rPh>
    <rPh sb="28" eb="30">
      <t>トチガ</t>
    </rPh>
    <phoneticPr fontId="2"/>
  </si>
  <si>
    <t>標準係数または実績値を用い、償却資産の取得価額を入力する。</t>
    <rPh sb="0" eb="4">
      <t>ヒョウジュn</t>
    </rPh>
    <rPh sb="7" eb="10">
      <t>ジッセキ</t>
    </rPh>
    <rPh sb="11" eb="12">
      <t>モチイ</t>
    </rPh>
    <rPh sb="14" eb="18">
      <t>ショウキャク</t>
    </rPh>
    <rPh sb="19" eb="23">
      <t>シュトク</t>
    </rPh>
    <rPh sb="24" eb="26">
      <t>ニュウリョク</t>
    </rPh>
    <phoneticPr fontId="2"/>
  </si>
  <si>
    <t>自社所有の車両がある場合、車両の取得時期を入力して標準係数を適用する。</t>
    <rPh sb="0" eb="4">
      <t>ジセィア</t>
    </rPh>
    <rPh sb="5" eb="7">
      <t>シャリョウ</t>
    </rPh>
    <rPh sb="13" eb="15">
      <t>sy</t>
    </rPh>
    <rPh sb="16" eb="18">
      <t>シュトク</t>
    </rPh>
    <rPh sb="18" eb="20">
      <t>j</t>
    </rPh>
    <rPh sb="21" eb="23">
      <t>ニュウリョク</t>
    </rPh>
    <rPh sb="25" eb="29">
      <t>ヒョウジュn</t>
    </rPh>
    <rPh sb="30" eb="32">
      <t>テキヨウ</t>
    </rPh>
    <phoneticPr fontId="2"/>
  </si>
  <si>
    <t>地域ごとに設定されている道路占用料の区分を入力して標準係数を適用する。</t>
    <rPh sb="0" eb="2">
      <t>チイキ</t>
    </rPh>
    <rPh sb="5" eb="7">
      <t>セッテイ</t>
    </rPh>
    <phoneticPr fontId="2"/>
  </si>
  <si>
    <r>
      <t>都道府県</t>
    </r>
    <r>
      <rPr>
        <sz val="12"/>
        <color rgb="FFFF0000"/>
        <rFont val="Meiryo UI"/>
        <family val="2"/>
        <charset val="128"/>
      </rPr>
      <t>*</t>
    </r>
    <rPh sb="0" eb="4">
      <t>トドウ</t>
    </rPh>
    <phoneticPr fontId="2"/>
  </si>
  <si>
    <r>
      <t>法人税率</t>
    </r>
    <r>
      <rPr>
        <sz val="12"/>
        <color rgb="FFFF0000"/>
        <rFont val="Meiryo UI"/>
        <family val="2"/>
        <charset val="128"/>
      </rPr>
      <t>*</t>
    </r>
    <rPh sb="0" eb="4">
      <t>ホウジn</t>
    </rPh>
    <phoneticPr fontId="2"/>
  </si>
  <si>
    <r>
      <t>許可地点数</t>
    </r>
    <r>
      <rPr>
        <sz val="12"/>
        <color rgb="FFFF0000"/>
        <rFont val="Meiryo UI"/>
        <family val="2"/>
        <charset val="128"/>
      </rPr>
      <t>*</t>
    </r>
    <rPh sb="0" eb="4">
      <t>キョカ</t>
    </rPh>
    <rPh sb="4" eb="5">
      <t xml:space="preserve">スウ </t>
    </rPh>
    <phoneticPr fontId="2"/>
  </si>
  <si>
    <r>
      <t>（共同住宅）</t>
    </r>
    <r>
      <rPr>
        <sz val="12"/>
        <color rgb="FFFF0000"/>
        <rFont val="Meiryo UI"/>
        <family val="2"/>
        <charset val="128"/>
      </rPr>
      <t>*</t>
    </r>
    <rPh sb="1" eb="5">
      <t>キョウドウ</t>
    </rPh>
    <phoneticPr fontId="2"/>
  </si>
  <si>
    <r>
      <t>（単独住宅）</t>
    </r>
    <r>
      <rPr>
        <sz val="12"/>
        <color rgb="FFFF0000"/>
        <rFont val="Meiryo UI"/>
        <family val="2"/>
        <charset val="128"/>
      </rPr>
      <t>*</t>
    </r>
    <rPh sb="1" eb="5">
      <t>タンドク</t>
    </rPh>
    <phoneticPr fontId="2"/>
  </si>
  <si>
    <r>
      <t>固定資産税の減免措置</t>
    </r>
    <r>
      <rPr>
        <sz val="12"/>
        <color rgb="FFFF0000"/>
        <rFont val="Meiryo UI"/>
        <family val="2"/>
        <charset val="128"/>
      </rPr>
      <t>*</t>
    </r>
    <rPh sb="0" eb="5">
      <t>コテイ</t>
    </rPh>
    <phoneticPr fontId="2"/>
  </si>
  <si>
    <t>6.エラーチェック</t>
    <phoneticPr fontId="2"/>
  </si>
  <si>
    <t>7.レートメイキング</t>
    <phoneticPr fontId="2"/>
  </si>
  <si>
    <t>車両の標準係数の抽出</t>
    <rPh sb="0" eb="2">
      <t>シャリョウ</t>
    </rPh>
    <rPh sb="3" eb="7">
      <t>ヒョウジュn</t>
    </rPh>
    <rPh sb="8" eb="10">
      <t>チュウシュテゥ</t>
    </rPh>
    <phoneticPr fontId="2"/>
  </si>
  <si>
    <t>→土地シートへ</t>
    <rPh sb="1" eb="3">
      <t>トチ</t>
    </rPh>
    <phoneticPr fontId="4"/>
  </si>
  <si>
    <t>→販売量シートへ</t>
    <rPh sb="1" eb="4">
      <t>ハンバイ</t>
    </rPh>
    <phoneticPr fontId="4"/>
  </si>
  <si>
    <t>→償却資産シートへ</t>
    <rPh sb="1" eb="5">
      <t>ショウキャク</t>
    </rPh>
    <phoneticPr fontId="4"/>
  </si>
  <si>
    <t>対象地点数</t>
    <rPh sb="0" eb="2">
      <t>タイショウ</t>
    </rPh>
    <rPh sb="2" eb="5">
      <t>チテンス</t>
    </rPh>
    <phoneticPr fontId="2"/>
  </si>
  <si>
    <t>修繕費率</t>
    <rPh sb="0" eb="1">
      <t>シュウゼンヒ</t>
    </rPh>
    <phoneticPr fontId="2"/>
  </si>
  <si>
    <t>強制気化装置（バルク）</t>
    <rPh sb="0" eb="2">
      <t xml:space="preserve">キョウセイキカ </t>
    </rPh>
    <rPh sb="2" eb="4">
      <t xml:space="preserve">キカ </t>
    </rPh>
    <rPh sb="4" eb="6">
      <t>ソウチ</t>
    </rPh>
    <phoneticPr fontId="2"/>
  </si>
  <si>
    <t>総原価</t>
  </si>
  <si>
    <t>総原価</t>
    <rPh sb="0" eb="3">
      <t>ソウゲンカ</t>
    </rPh>
    <phoneticPr fontId="2"/>
  </si>
  <si>
    <t>需要構成率</t>
    <rPh sb="0" eb="5">
      <t>ジュヨウ</t>
    </rPh>
    <phoneticPr fontId="2"/>
  </si>
  <si>
    <t>A</t>
    <phoneticPr fontId="23"/>
  </si>
  <si>
    <t>B</t>
    <phoneticPr fontId="23"/>
  </si>
  <si>
    <t>C</t>
    <phoneticPr fontId="23"/>
  </si>
  <si>
    <t>MIN</t>
    <phoneticPr fontId="23"/>
  </si>
  <si>
    <t>MAX</t>
    <phoneticPr fontId="23"/>
  </si>
  <si>
    <t>基本</t>
    <rPh sb="0" eb="2">
      <t>キホン</t>
    </rPh>
    <phoneticPr fontId="23"/>
  </si>
  <si>
    <t>年間延べ調定数</t>
    <rPh sb="0" eb="3">
      <t>ネンカn</t>
    </rPh>
    <phoneticPr fontId="2"/>
  </si>
  <si>
    <t>想定需要</t>
    <rPh sb="0" eb="4">
      <t>ソウテイ</t>
    </rPh>
    <phoneticPr fontId="2"/>
  </si>
  <si>
    <t>想定収入</t>
    <rPh sb="0" eb="2">
      <t>ソウテイ</t>
    </rPh>
    <rPh sb="2" eb="4">
      <t>シュウニュウ</t>
    </rPh>
    <phoneticPr fontId="2"/>
  </si>
  <si>
    <t>基本料金</t>
    <rPh sb="0" eb="4">
      <t>キホn</t>
    </rPh>
    <phoneticPr fontId="2"/>
  </si>
  <si>
    <t>従量料金</t>
    <rPh sb="0" eb="4">
      <t>ジュウリョウ</t>
    </rPh>
    <phoneticPr fontId="2"/>
  </si>
  <si>
    <t>単位販売量</t>
    <rPh sb="0" eb="5">
      <t>タンイハ</t>
    </rPh>
    <phoneticPr fontId="2"/>
  </si>
  <si>
    <t>年間販売量比率</t>
    <phoneticPr fontId="2"/>
  </si>
  <si>
    <t>年間調定数</t>
    <rPh sb="0" eb="2">
      <t>ネンカn</t>
    </rPh>
    <rPh sb="2" eb="5">
      <t>チョウテイ</t>
    </rPh>
    <phoneticPr fontId="2"/>
  </si>
  <si>
    <t>年間販売量</t>
  </si>
  <si>
    <t>年間販売量</t>
    <rPh sb="0" eb="2">
      <t>ネンカn</t>
    </rPh>
    <rPh sb="2" eb="5">
      <t>ハンバイ</t>
    </rPh>
    <phoneticPr fontId="2"/>
  </si>
  <si>
    <t>減価償却費（車両分）</t>
  </si>
  <si>
    <t>事業税</t>
  </si>
  <si>
    <t>機能別原価</t>
  </si>
  <si>
    <t>ピーク月使用量</t>
  </si>
  <si>
    <t>延メーター通過量</t>
  </si>
  <si>
    <t>延許可地点数</t>
  </si>
  <si>
    <t>供給約款料金原価</t>
  </si>
  <si>
    <t>変動費計</t>
  </si>
  <si>
    <t>需要家原価計</t>
  </si>
  <si>
    <t>製造需要原価</t>
  </si>
  <si>
    <t>合計</t>
  </si>
  <si>
    <t>配分基準</t>
  </si>
  <si>
    <t>固定費ａ</t>
  </si>
  <si>
    <t>変動費ｂ</t>
  </si>
  <si>
    <t>計ｃ</t>
  </si>
  <si>
    <t>固定費ｄ</t>
  </si>
  <si>
    <t>変動費ｅ</t>
  </si>
  <si>
    <t>計ｆ</t>
  </si>
  <si>
    <t>Ａ</t>
  </si>
  <si>
    <t>Ｂ</t>
  </si>
  <si>
    <t>Ｃ</t>
  </si>
  <si>
    <t>Ｄ</t>
  </si>
  <si>
    <t>Ｑ</t>
  </si>
  <si>
    <t>Ｅ</t>
  </si>
  <si>
    <t>Ｆ</t>
  </si>
  <si>
    <t>Ｇ</t>
  </si>
  <si>
    <t>小計①</t>
  </si>
  <si>
    <t>Ｈ</t>
  </si>
  <si>
    <t>Ｉ</t>
  </si>
  <si>
    <t>小計②</t>
  </si>
  <si>
    <t>Ｊ</t>
  </si>
  <si>
    <t>Ｋ</t>
  </si>
  <si>
    <t>Ｌ</t>
  </si>
  <si>
    <t>小計③</t>
  </si>
  <si>
    <t>Ｍ</t>
  </si>
  <si>
    <t>Ｎ</t>
  </si>
  <si>
    <t>Ｏ</t>
  </si>
  <si>
    <t>ｇ</t>
  </si>
  <si>
    <t>減価償却費（車両分除く）</t>
  </si>
  <si>
    <t>選択約款料金原価</t>
  </si>
  <si>
    <t>特定ガス大口供給料金原価</t>
  </si>
  <si>
    <t>金額</t>
  </si>
  <si>
    <t>製造需要原価固定費計</t>
  </si>
  <si>
    <t>供給需要原価固定費計</t>
  </si>
  <si>
    <t>別表第４（第９条関係）</t>
    <phoneticPr fontId="2"/>
  </si>
  <si>
    <t>機能別原価配分式</t>
    <phoneticPr fontId="2"/>
  </si>
  <si>
    <t>有形固定資産投資額</t>
    <phoneticPr fontId="2"/>
  </si>
  <si>
    <t>建物及び償却資産</t>
    <rPh sb="0" eb="2">
      <t>タテモノ</t>
    </rPh>
    <rPh sb="2" eb="3">
      <t>オヨビ</t>
    </rPh>
    <rPh sb="4" eb="8">
      <t>ショウキャク</t>
    </rPh>
    <phoneticPr fontId="2"/>
  </si>
  <si>
    <t>導管</t>
    <rPh sb="0" eb="2">
      <t>ドウカn</t>
    </rPh>
    <phoneticPr fontId="2"/>
  </si>
  <si>
    <t>（車両を除く合計）</t>
    <rPh sb="1" eb="3">
      <t>シャリョウヲノズ</t>
    </rPh>
    <rPh sb="6" eb="8">
      <t>ゴウケイ</t>
    </rPh>
    <phoneticPr fontId="2"/>
  </si>
  <si>
    <t>供給需要原価（本支管）</t>
    <rPh sb="0" eb="4">
      <t>キョウキュウ</t>
    </rPh>
    <rPh sb="4" eb="6">
      <t xml:space="preserve">ゲンカ </t>
    </rPh>
    <rPh sb="7" eb="8">
      <t>ホn</t>
    </rPh>
    <rPh sb="8" eb="9">
      <t>シリュウ</t>
    </rPh>
    <rPh sb="9" eb="10">
      <t>🥫</t>
    </rPh>
    <phoneticPr fontId="2"/>
  </si>
  <si>
    <t>需要家原価（供給管分）</t>
    <rPh sb="0" eb="5">
      <t>ジュヨウ</t>
    </rPh>
    <rPh sb="6" eb="10">
      <t>キョウキュウ</t>
    </rPh>
    <phoneticPr fontId="2"/>
  </si>
  <si>
    <t>（導管配分比率）</t>
    <rPh sb="1" eb="7">
      <t>ドウカn</t>
    </rPh>
    <phoneticPr fontId="2"/>
  </si>
  <si>
    <t>供給需要家原価</t>
    <rPh sb="0" eb="7">
      <t>キョウキュウ</t>
    </rPh>
    <phoneticPr fontId="2"/>
  </si>
  <si>
    <t>需要家原価</t>
    <rPh sb="0" eb="5">
      <t>ジュヨウ</t>
    </rPh>
    <phoneticPr fontId="2"/>
  </si>
  <si>
    <t>PA</t>
    <phoneticPr fontId="2"/>
  </si>
  <si>
    <t>PB</t>
    <phoneticPr fontId="2"/>
  </si>
  <si>
    <t>PC</t>
    <phoneticPr fontId="2"/>
  </si>
  <si>
    <t>PD</t>
    <phoneticPr fontId="2"/>
  </si>
  <si>
    <t>PE</t>
    <phoneticPr fontId="2"/>
  </si>
  <si>
    <t>PF</t>
    <phoneticPr fontId="2"/>
  </si>
  <si>
    <t>PG</t>
    <phoneticPr fontId="2"/>
  </si>
  <si>
    <t>PH</t>
    <phoneticPr fontId="2"/>
  </si>
  <si>
    <t>PI</t>
    <phoneticPr fontId="2"/>
  </si>
  <si>
    <t>P</t>
    <phoneticPr fontId="2"/>
  </si>
  <si>
    <t>PP</t>
    <phoneticPr fontId="2"/>
  </si>
  <si>
    <t>V</t>
    <phoneticPr fontId="2"/>
  </si>
  <si>
    <t>W</t>
    <phoneticPr fontId="2"/>
  </si>
  <si>
    <t>Y</t>
    <phoneticPr fontId="2"/>
  </si>
  <si>
    <t>Z</t>
    <phoneticPr fontId="2"/>
  </si>
  <si>
    <t>配分基準</t>
    <rPh sb="0" eb="4">
      <t>ハイブn</t>
    </rPh>
    <phoneticPr fontId="2"/>
  </si>
  <si>
    <t>原単位</t>
    <rPh sb="0" eb="1">
      <t>ゲンタンイ</t>
    </rPh>
    <phoneticPr fontId="2"/>
  </si>
  <si>
    <t>原単位</t>
    <rPh sb="0" eb="3">
      <t>ゲンタンイ</t>
    </rPh>
    <phoneticPr fontId="2"/>
  </si>
  <si>
    <t>（労務費及び車両配分比率）</t>
    <rPh sb="1" eb="4">
      <t>ロウム</t>
    </rPh>
    <rPh sb="4" eb="5">
      <t>オヨビ</t>
    </rPh>
    <rPh sb="6" eb="12">
      <t>シャリョウ</t>
    </rPh>
    <phoneticPr fontId="2"/>
  </si>
  <si>
    <t>記号</t>
    <rPh sb="0" eb="2">
      <t xml:space="preserve">・ </t>
    </rPh>
    <phoneticPr fontId="2"/>
  </si>
  <si>
    <t>別表第5（第10条関係）</t>
    <rPh sb="0" eb="2">
      <t>ベッピョウ</t>
    </rPh>
    <rPh sb="2" eb="3">
      <t>ダイ</t>
    </rPh>
    <rPh sb="5" eb="6">
      <t>ダイ1</t>
    </rPh>
    <phoneticPr fontId="2"/>
  </si>
  <si>
    <t>需要種別への原価配分式</t>
    <rPh sb="0" eb="4">
      <t>ジュヨウ</t>
    </rPh>
    <rPh sb="6" eb="11">
      <t>ゲンカ</t>
    </rPh>
    <phoneticPr fontId="2"/>
  </si>
  <si>
    <t>機能別原価配分式</t>
    <rPh sb="0" eb="7">
      <t>キノウベテゥ</t>
    </rPh>
    <rPh sb="7" eb="8">
      <t>シキ</t>
    </rPh>
    <phoneticPr fontId="2"/>
  </si>
  <si>
    <t>レートメイク</t>
    <phoneticPr fontId="2"/>
  </si>
  <si>
    <t>収入-総原価</t>
    <rPh sb="0" eb="2">
      <t>シュウニュウ</t>
    </rPh>
    <phoneticPr fontId="2"/>
  </si>
  <si>
    <t>製造需要原価（固定）</t>
    <rPh sb="0" eb="6">
      <t>セイゾウ</t>
    </rPh>
    <rPh sb="7" eb="9">
      <t>コテイ</t>
    </rPh>
    <phoneticPr fontId="2"/>
  </si>
  <si>
    <t>製造需要原価（変動）</t>
    <rPh sb="0" eb="1">
      <t>セイゾウ</t>
    </rPh>
    <rPh sb="7" eb="9">
      <t>ヘンドウ</t>
    </rPh>
    <phoneticPr fontId="2"/>
  </si>
  <si>
    <t>供給需要原価（固定）</t>
    <rPh sb="0" eb="2">
      <t>キョウキュウジュイ</t>
    </rPh>
    <rPh sb="2" eb="6">
      <t>ジュヨウ</t>
    </rPh>
    <rPh sb="7" eb="9">
      <t>コテイ</t>
    </rPh>
    <phoneticPr fontId="2"/>
  </si>
  <si>
    <t>供給需要原価（変動）</t>
    <rPh sb="0" eb="1">
      <t>キョウキュウ</t>
    </rPh>
    <rPh sb="6" eb="7">
      <t>（）</t>
    </rPh>
    <rPh sb="7" eb="9">
      <t>ヘn</t>
    </rPh>
    <phoneticPr fontId="2"/>
  </si>
  <si>
    <t>非規制料金</t>
    <rPh sb="0" eb="3">
      <t>ヒキセイ</t>
    </rPh>
    <rPh sb="3" eb="5">
      <t>リョウ</t>
    </rPh>
    <phoneticPr fontId="2"/>
  </si>
  <si>
    <r>
      <t xml:space="preserve"> 原料購入単価（円/Kg）</t>
    </r>
    <r>
      <rPr>
        <sz val="12"/>
        <color rgb="FFFF0000"/>
        <rFont val="Meiryo UI"/>
        <family val="2"/>
        <charset val="128"/>
      </rPr>
      <t>*</t>
    </r>
    <rPh sb="1" eb="7">
      <t>ゲンリョウコウンイ</t>
    </rPh>
    <rPh sb="8" eb="9">
      <t>エn</t>
    </rPh>
    <phoneticPr fontId="2"/>
  </si>
  <si>
    <t>所要人数_鋼管</t>
    <rPh sb="5" eb="7">
      <t xml:space="preserve">コウカン </t>
    </rPh>
    <phoneticPr fontId="2"/>
  </si>
  <si>
    <t>所要人数_PE管</t>
    <phoneticPr fontId="2"/>
  </si>
  <si>
    <t>有</t>
  </si>
  <si>
    <t>３トン未満_50ｷﾛｸﾞﾗﾑ容器</t>
  </si>
  <si>
    <t>旧特定大口</t>
    <rPh sb="0" eb="1">
      <t>キュウ</t>
    </rPh>
    <rPh sb="1" eb="5">
      <t>トクテイ</t>
    </rPh>
    <phoneticPr fontId="2"/>
  </si>
  <si>
    <t>非規制需要</t>
    <rPh sb="0" eb="3">
      <t>ヒキセイ</t>
    </rPh>
    <rPh sb="3" eb="5">
      <t>ジュヨウ</t>
    </rPh>
    <phoneticPr fontId="2"/>
  </si>
  <si>
    <t>契約区分</t>
    <rPh sb="0" eb="4">
      <t>ケイヤク</t>
    </rPh>
    <phoneticPr fontId="2"/>
  </si>
  <si>
    <t>【チェックリスト】</t>
    <phoneticPr fontId="2"/>
  </si>
  <si>
    <r>
      <t>供給約款のみ</t>
    </r>
    <r>
      <rPr>
        <sz val="12"/>
        <color rgb="FFFF0000"/>
        <rFont val="ＭＳ 明朝"/>
        <family val="1"/>
        <charset val="128"/>
      </rPr>
      <t>*</t>
    </r>
    <rPh sb="0" eb="4">
      <t>キョウキュウ</t>
    </rPh>
    <phoneticPr fontId="2"/>
  </si>
  <si>
    <r>
      <t>標準係数を使用</t>
    </r>
    <r>
      <rPr>
        <sz val="12"/>
        <color rgb="FFFF0000"/>
        <rFont val="ＭＳ 明朝"/>
        <family val="1"/>
        <charset val="128"/>
      </rPr>
      <t>*</t>
    </r>
    <rPh sb="0" eb="4">
      <t>ヒョウジュn</t>
    </rPh>
    <rPh sb="5" eb="7">
      <t>シヨウ</t>
    </rPh>
    <phoneticPr fontId="2"/>
  </si>
  <si>
    <t>【販売量設定】</t>
    <rPh sb="1" eb="4">
      <t>ハンバイ</t>
    </rPh>
    <rPh sb="4" eb="6">
      <t>セッテイ</t>
    </rPh>
    <phoneticPr fontId="2"/>
  </si>
  <si>
    <t>販売量設定は正しいか？</t>
    <rPh sb="0" eb="3">
      <t>ハンバイ</t>
    </rPh>
    <rPh sb="3" eb="5">
      <t>セッテイ</t>
    </rPh>
    <rPh sb="6" eb="7">
      <t>タダセィ</t>
    </rPh>
    <phoneticPr fontId="2"/>
  </si>
  <si>
    <t>販売量情報入力シートの需要家数は許可地点数と一致しているか？</t>
    <rPh sb="11" eb="15">
      <t>ジュヨウ</t>
    </rPh>
    <rPh sb="16" eb="21">
      <t>キョカ</t>
    </rPh>
    <rPh sb="22" eb="24">
      <t>イッチ</t>
    </rPh>
    <phoneticPr fontId="2"/>
  </si>
  <si>
    <t>土地情報は正しく入力されているか？</t>
    <rPh sb="0" eb="4">
      <t>トチ</t>
    </rPh>
    <rPh sb="5" eb="6">
      <t>タダセィ</t>
    </rPh>
    <phoneticPr fontId="2"/>
  </si>
  <si>
    <t>償却資産と許可地点数は一致しているか？</t>
    <rPh sb="0" eb="4">
      <t>ショウキャク</t>
    </rPh>
    <rPh sb="5" eb="9">
      <t>キョカ</t>
    </rPh>
    <rPh sb="11" eb="13">
      <t>イッチ</t>
    </rPh>
    <phoneticPr fontId="2"/>
  </si>
  <si>
    <t>車両が自社所有の場合、取得時期は正しいか？</t>
    <rPh sb="0" eb="2">
      <t>シャリョウ</t>
    </rPh>
    <rPh sb="3" eb="7">
      <t>ジセィア</t>
    </rPh>
    <rPh sb="11" eb="15">
      <t>シュトク</t>
    </rPh>
    <rPh sb="16" eb="17">
      <t>タダセィ</t>
    </rPh>
    <phoneticPr fontId="2"/>
  </si>
  <si>
    <t>道路占用料の区分は正しいか？</t>
    <rPh sb="9" eb="10">
      <t>タダシイ</t>
    </rPh>
    <phoneticPr fontId="2"/>
  </si>
  <si>
    <t>レートメイクの需要構成率は正しいか？</t>
    <rPh sb="7" eb="12">
      <t>ジュヨウ</t>
    </rPh>
    <rPh sb="13" eb="14">
      <t>タダセィ</t>
    </rPh>
    <phoneticPr fontId="2"/>
  </si>
  <si>
    <t>レートメイクの収入ー総原価は0〜-1,000の範囲に収まっているか？</t>
    <rPh sb="7" eb="9">
      <t>シュウニュウ</t>
    </rPh>
    <rPh sb="10" eb="13">
      <t>ソウゲンカ</t>
    </rPh>
    <rPh sb="23" eb="25">
      <t>ハンイ</t>
    </rPh>
    <rPh sb="26" eb="27">
      <t>オサマッテ</t>
    </rPh>
    <phoneticPr fontId="2"/>
  </si>
  <si>
    <t>貯槽(バルク)</t>
    <phoneticPr fontId="2"/>
  </si>
  <si>
    <t>諸係数</t>
    <rPh sb="0" eb="3">
      <t>ショケイ</t>
    </rPh>
    <phoneticPr fontId="2"/>
  </si>
  <si>
    <t>土地所要面積</t>
    <rPh sb="0" eb="6">
      <t>トチ</t>
    </rPh>
    <phoneticPr fontId="2"/>
  </si>
  <si>
    <t>需要群ID　</t>
    <phoneticPr fontId="2"/>
  </si>
  <si>
    <t>第４表</t>
    <rPh sb="0" eb="1">
      <t>ダイ</t>
    </rPh>
    <rPh sb="2" eb="3">
      <t>ヒョウ</t>
    </rPh>
    <phoneticPr fontId="27"/>
  </si>
  <si>
    <t>供給約款料金原価と料金収入の比較表</t>
    <rPh sb="0" eb="2">
      <t>キョウキュウ</t>
    </rPh>
    <rPh sb="2" eb="4">
      <t>ヤッカン</t>
    </rPh>
    <rPh sb="4" eb="6">
      <t>リョウキン</t>
    </rPh>
    <rPh sb="6" eb="8">
      <t>ゲンカ</t>
    </rPh>
    <rPh sb="9" eb="11">
      <t>リョウキン</t>
    </rPh>
    <rPh sb="11" eb="13">
      <t>シュウニュウ</t>
    </rPh>
    <rPh sb="14" eb="16">
      <t>ヒカク</t>
    </rPh>
    <rPh sb="16" eb="17">
      <t>ヒョウ</t>
    </rPh>
    <phoneticPr fontId="27"/>
  </si>
  <si>
    <t>供給約款料金原価（ａ）
（円）</t>
    <rPh sb="0" eb="2">
      <t>キョウキュウ</t>
    </rPh>
    <rPh sb="2" eb="4">
      <t>ヤッカン</t>
    </rPh>
    <rPh sb="4" eb="6">
      <t>リョウキン</t>
    </rPh>
    <rPh sb="6" eb="8">
      <t>ゲンカ</t>
    </rPh>
    <phoneticPr fontId="27"/>
  </si>
  <si>
    <t>想定料金収入
（円）</t>
    <rPh sb="0" eb="2">
      <t>ソウテイ</t>
    </rPh>
    <rPh sb="2" eb="4">
      <t>リョウキン</t>
    </rPh>
    <rPh sb="4" eb="6">
      <t>シュウニュウ</t>
    </rPh>
    <phoneticPr fontId="27"/>
  </si>
  <si>
    <t>（単位：円）</t>
    <rPh sb="1" eb="3">
      <t>タンイ</t>
    </rPh>
    <rPh sb="4" eb="5">
      <t>エン</t>
    </rPh>
    <phoneticPr fontId="27"/>
  </si>
  <si>
    <t>項目</t>
    <rPh sb="0" eb="2">
      <t>コウモク</t>
    </rPh>
    <phoneticPr fontId="30"/>
  </si>
  <si>
    <t>区分</t>
    <rPh sb="0" eb="2">
      <t>クブン</t>
    </rPh>
    <phoneticPr fontId="30"/>
  </si>
  <si>
    <t>新</t>
    <rPh sb="0" eb="1">
      <t>シン</t>
    </rPh>
    <phoneticPr fontId="30"/>
  </si>
  <si>
    <t>旧</t>
    <rPh sb="0" eb="1">
      <t>キュウ</t>
    </rPh>
    <phoneticPr fontId="30"/>
  </si>
  <si>
    <t>基本料金</t>
    <phoneticPr fontId="30"/>
  </si>
  <si>
    <t>基準単位料金</t>
    <rPh sb="0" eb="2">
      <t>キジュン</t>
    </rPh>
    <rPh sb="2" eb="4">
      <t>タンイ</t>
    </rPh>
    <phoneticPr fontId="30"/>
  </si>
  <si>
    <t>調整単位料金</t>
    <rPh sb="0" eb="2">
      <t>チョウセイ</t>
    </rPh>
    <rPh sb="2" eb="4">
      <t>タンイ</t>
    </rPh>
    <rPh sb="4" eb="6">
      <t>リョウキン</t>
    </rPh>
    <phoneticPr fontId="30"/>
  </si>
  <si>
    <t>Ａ群</t>
  </si>
  <si>
    <t>Ｂ群</t>
  </si>
  <si>
    <t>Ｃ群</t>
  </si>
  <si>
    <t>供給
約款
料金
の
平均
単価</t>
    <phoneticPr fontId="30"/>
  </si>
  <si>
    <t>新</t>
    <phoneticPr fontId="30"/>
  </si>
  <si>
    <t>(届出）供給約款料金原価</t>
    <phoneticPr fontId="30"/>
  </si>
  <si>
    <t>原価（原資）算定期間中の供給約款ガス販売量</t>
    <phoneticPr fontId="30"/>
  </si>
  <si>
    <t>÷</t>
    <phoneticPr fontId="30"/>
  </si>
  <si>
    <t>＝</t>
    <phoneticPr fontId="30"/>
  </si>
  <si>
    <t>旧</t>
    <phoneticPr fontId="30"/>
  </si>
  <si>
    <t>（届出）供給約款料金の変更前料金収入（※）</t>
    <phoneticPr fontId="30"/>
  </si>
  <si>
    <t>(新)平均単価</t>
    <phoneticPr fontId="30"/>
  </si>
  <si>
    <t>改定率</t>
    <phoneticPr fontId="30"/>
  </si>
  <si>
    <t>(旧)平均単価</t>
    <phoneticPr fontId="30"/>
  </si>
  <si>
    <t>(ﾊﾟｰｾﾝﾄ)</t>
    <phoneticPr fontId="30"/>
  </si>
  <si>
    <t>・供給約款</t>
    <rPh sb="1" eb="3">
      <t>キョウキュウ</t>
    </rPh>
    <rPh sb="3" eb="5">
      <t>ヤッカン</t>
    </rPh>
    <phoneticPr fontId="27"/>
  </si>
  <si>
    <t>（※）変更前料金収入</t>
    <rPh sb="3" eb="5">
      <t>ヘンコウ</t>
    </rPh>
    <rPh sb="5" eb="6">
      <t>マエ</t>
    </rPh>
    <rPh sb="6" eb="8">
      <t>リョウキン</t>
    </rPh>
    <rPh sb="8" eb="10">
      <t>シュウニュウ</t>
    </rPh>
    <phoneticPr fontId="30"/>
  </si>
  <si>
    <t>料金種別ごとに以下の式により算定された額の合計額とする。</t>
    <rPh sb="0" eb="2">
      <t>リョウキン</t>
    </rPh>
    <rPh sb="2" eb="4">
      <t>シュベツ</t>
    </rPh>
    <rPh sb="7" eb="9">
      <t>イカ</t>
    </rPh>
    <rPh sb="10" eb="11">
      <t>シキ</t>
    </rPh>
    <rPh sb="14" eb="16">
      <t>サンテイ</t>
    </rPh>
    <rPh sb="19" eb="20">
      <t>ガク</t>
    </rPh>
    <rPh sb="21" eb="23">
      <t>ゴウケイ</t>
    </rPh>
    <rPh sb="23" eb="24">
      <t>ガク</t>
    </rPh>
    <phoneticPr fontId="30"/>
  </si>
  <si>
    <t>基本料金［変更前］×原価（原資）算定期間中の延調定件数その他需要想定＋</t>
    <rPh sb="0" eb="2">
      <t>キホン</t>
    </rPh>
    <rPh sb="2" eb="4">
      <t>リョウキン</t>
    </rPh>
    <rPh sb="5" eb="7">
      <t>ヘンコウ</t>
    </rPh>
    <rPh sb="7" eb="8">
      <t>マエ</t>
    </rPh>
    <rPh sb="10" eb="12">
      <t>ゲンカ</t>
    </rPh>
    <rPh sb="13" eb="15">
      <t>ゲンシ</t>
    </rPh>
    <rPh sb="16" eb="18">
      <t>サンテイ</t>
    </rPh>
    <rPh sb="18" eb="20">
      <t>キカン</t>
    </rPh>
    <rPh sb="20" eb="21">
      <t>チュウ</t>
    </rPh>
    <rPh sb="22" eb="23">
      <t>ノ</t>
    </rPh>
    <rPh sb="23" eb="24">
      <t>チョウ</t>
    </rPh>
    <rPh sb="24" eb="25">
      <t>サダム</t>
    </rPh>
    <rPh sb="25" eb="27">
      <t>ケンスウ</t>
    </rPh>
    <rPh sb="29" eb="30">
      <t>タ</t>
    </rPh>
    <rPh sb="30" eb="32">
      <t>ジュヨウ</t>
    </rPh>
    <rPh sb="32" eb="34">
      <t>ソウテイ</t>
    </rPh>
    <phoneticPr fontId="30"/>
  </si>
  <si>
    <t>＋従量料金単価［変更前］×原価（原資）算定期間中のガス販売量</t>
    <rPh sb="1" eb="3">
      <t>ジュウリョウ</t>
    </rPh>
    <rPh sb="3" eb="5">
      <t>リョウキン</t>
    </rPh>
    <rPh sb="5" eb="7">
      <t>タンカ</t>
    </rPh>
    <rPh sb="8" eb="10">
      <t>ヘンコウ</t>
    </rPh>
    <rPh sb="10" eb="11">
      <t>マエ</t>
    </rPh>
    <rPh sb="27" eb="29">
      <t>ハンバイ</t>
    </rPh>
    <rPh sb="29" eb="30">
      <t>リョウ</t>
    </rPh>
    <phoneticPr fontId="30"/>
  </si>
  <si>
    <t>使用量区画別料金の場合</t>
    <phoneticPr fontId="30"/>
  </si>
  <si>
    <t>最低使用量料金［変更前］×原価（原資）算定期間中の延調定件数</t>
    <rPh sb="0" eb="2">
      <t>サイテイ</t>
    </rPh>
    <rPh sb="2" eb="5">
      <t>シヨウリョウ</t>
    </rPh>
    <rPh sb="5" eb="7">
      <t>リョウキン</t>
    </rPh>
    <rPh sb="8" eb="10">
      <t>ヘンコウ</t>
    </rPh>
    <rPh sb="10" eb="11">
      <t>マエ</t>
    </rPh>
    <rPh sb="13" eb="15">
      <t>ゲンカ</t>
    </rPh>
    <rPh sb="16" eb="18">
      <t>ゲンシ</t>
    </rPh>
    <rPh sb="19" eb="21">
      <t>サンテイ</t>
    </rPh>
    <rPh sb="21" eb="23">
      <t>キカン</t>
    </rPh>
    <rPh sb="23" eb="24">
      <t>チュウ</t>
    </rPh>
    <rPh sb="25" eb="26">
      <t>ノ</t>
    </rPh>
    <rPh sb="26" eb="27">
      <t>チョウ</t>
    </rPh>
    <rPh sb="27" eb="28">
      <t>サダム</t>
    </rPh>
    <rPh sb="28" eb="30">
      <t>ケンスウ</t>
    </rPh>
    <phoneticPr fontId="30"/>
  </si>
  <si>
    <t>＋区画別使用量料金単価［変更前］×原価（原資）算定期間中のガス販売量</t>
    <rPh sb="1" eb="3">
      <t>クカク</t>
    </rPh>
    <rPh sb="3" eb="4">
      <t>ベツ</t>
    </rPh>
    <rPh sb="4" eb="7">
      <t>シヨウリョウ</t>
    </rPh>
    <rPh sb="7" eb="9">
      <t>リョウキン</t>
    </rPh>
    <rPh sb="9" eb="11">
      <t>タンカ</t>
    </rPh>
    <rPh sb="12" eb="14">
      <t>ヘンコウ</t>
    </rPh>
    <rPh sb="14" eb="15">
      <t>マエ</t>
    </rPh>
    <phoneticPr fontId="30"/>
  </si>
  <si>
    <t>－最低使用量×延調定件数</t>
    <phoneticPr fontId="27"/>
  </si>
  <si>
    <t>供給約款変更前料金収入</t>
    <rPh sb="0" eb="2">
      <t>キョウキュウ</t>
    </rPh>
    <rPh sb="2" eb="4">
      <t>ヤッカン</t>
    </rPh>
    <rPh sb="4" eb="6">
      <t>ヘンコウ</t>
    </rPh>
    <rPh sb="6" eb="7">
      <t>マエ</t>
    </rPh>
    <rPh sb="7" eb="9">
      <t>リョウキン</t>
    </rPh>
    <rPh sb="9" eb="11">
      <t>シュウニュウ</t>
    </rPh>
    <phoneticPr fontId="27"/>
  </si>
  <si>
    <t>基本料金</t>
    <rPh sb="0" eb="2">
      <t>キホン</t>
    </rPh>
    <rPh sb="2" eb="4">
      <t>リョウキン</t>
    </rPh>
    <phoneticPr fontId="30"/>
  </si>
  <si>
    <t>金額</t>
    <rPh sb="0" eb="2">
      <t>キンガク</t>
    </rPh>
    <phoneticPr fontId="27"/>
  </si>
  <si>
    <t>×</t>
    <phoneticPr fontId="30"/>
  </si>
  <si>
    <t>年間延調定数</t>
    <rPh sb="0" eb="2">
      <t>ネンカン</t>
    </rPh>
    <rPh sb="2" eb="3">
      <t>ノ</t>
    </rPh>
    <rPh sb="3" eb="4">
      <t>チョウ</t>
    </rPh>
    <rPh sb="4" eb="6">
      <t>テイスウ</t>
    </rPh>
    <phoneticPr fontId="27"/>
  </si>
  <si>
    <t>基本料金収入額</t>
    <rPh sb="0" eb="2">
      <t>キホン</t>
    </rPh>
    <rPh sb="2" eb="4">
      <t>リョウキン</t>
    </rPh>
    <rPh sb="4" eb="6">
      <t>シュウニュウ</t>
    </rPh>
    <rPh sb="6" eb="7">
      <t>ガク</t>
    </rPh>
    <phoneticPr fontId="27"/>
  </si>
  <si>
    <t>年間販売量</t>
    <rPh sb="0" eb="2">
      <t>ネンカン</t>
    </rPh>
    <rPh sb="2" eb="4">
      <t>ハンバイ</t>
    </rPh>
    <rPh sb="4" eb="5">
      <t>リョウ</t>
    </rPh>
    <phoneticPr fontId="27"/>
  </si>
  <si>
    <t>単位料金収入額</t>
    <rPh sb="0" eb="2">
      <t>タンイ</t>
    </rPh>
    <rPh sb="2" eb="4">
      <t>リョウキン</t>
    </rPh>
    <rPh sb="4" eb="6">
      <t>シュウニュウ</t>
    </rPh>
    <rPh sb="6" eb="7">
      <t>ガク</t>
    </rPh>
    <phoneticPr fontId="27"/>
  </si>
  <si>
    <t>合</t>
    <rPh sb="0" eb="1">
      <t>ゴウ</t>
    </rPh>
    <phoneticPr fontId="30"/>
  </si>
  <si>
    <t>計</t>
    <phoneticPr fontId="30"/>
  </si>
  <si>
    <r>
      <t xml:space="preserve">実 </t>
    </r>
    <r>
      <rPr>
        <sz val="12"/>
        <color theme="1"/>
        <rFont val="ＭＳ 明朝"/>
        <family val="1"/>
        <charset val="128"/>
      </rPr>
      <t xml:space="preserve"> 施　の　内　容</t>
    </r>
    <rPh sb="0" eb="1">
      <t>ジツ</t>
    </rPh>
    <rPh sb="3" eb="4">
      <t>シ</t>
    </rPh>
    <rPh sb="7" eb="8">
      <t>ウチ</t>
    </rPh>
    <rPh sb="9" eb="10">
      <t>カタチ</t>
    </rPh>
    <phoneticPr fontId="30"/>
  </si>
  <si>
    <r>
      <t xml:space="preserve">× </t>
    </r>
    <r>
      <rPr>
        <sz val="12"/>
        <color theme="1"/>
        <rFont val="ＭＳ 明朝"/>
        <family val="1"/>
        <charset val="128"/>
      </rPr>
      <t xml:space="preserve">    100</t>
    </r>
    <phoneticPr fontId="30"/>
  </si>
  <si>
    <r>
      <t xml:space="preserve">－     </t>
    </r>
    <r>
      <rPr>
        <sz val="12"/>
        <color theme="1"/>
        <rFont val="ＭＳ 明朝"/>
        <family val="1"/>
        <charset val="128"/>
      </rPr>
      <t>100</t>
    </r>
    <phoneticPr fontId="27"/>
  </si>
  <si>
    <r>
      <t xml:space="preserve">× 100 － </t>
    </r>
    <r>
      <rPr>
        <sz val="12"/>
        <color theme="1"/>
        <rFont val="ＭＳ 明朝"/>
        <family val="1"/>
        <charset val="128"/>
      </rPr>
      <t>100</t>
    </r>
    <phoneticPr fontId="27"/>
  </si>
  <si>
    <t>新料金表</t>
    <rPh sb="0" eb="4">
      <t>シンリョウキn</t>
    </rPh>
    <phoneticPr fontId="23"/>
  </si>
  <si>
    <t>旧料金表</t>
    <rPh sb="0" eb="4">
      <t>キュウリョウキn</t>
    </rPh>
    <phoneticPr fontId="23"/>
  </si>
  <si>
    <t>ナビ</t>
    <phoneticPr fontId="2"/>
  </si>
  <si>
    <t>様式第１第1表　ガスの販売量
様式第１第2表　有形固定資産額</t>
    <rPh sb="4" eb="5">
      <t>ダイ1</t>
    </rPh>
    <rPh sb="14" eb="15">
      <t>ダイ2</t>
    </rPh>
    <rPh sb="19" eb="26">
      <t>ユウケイ</t>
    </rPh>
    <phoneticPr fontId="2"/>
  </si>
  <si>
    <t>様式第2 第1表　総括原価整理表</t>
    <rPh sb="0" eb="3">
      <t>ヨウシキ</t>
    </rPh>
    <rPh sb="5" eb="6">
      <t>ダイ1</t>
    </rPh>
    <rPh sb="9" eb="16">
      <t>ソウカテゥ</t>
    </rPh>
    <phoneticPr fontId="2"/>
  </si>
  <si>
    <t>様式第１第3表　営業項目別算定明細表</t>
    <rPh sb="8" eb="18">
      <t>エイギョウ</t>
    </rPh>
    <phoneticPr fontId="2"/>
  </si>
  <si>
    <t>様式第１第4表　営業費以外の項目別算定明細表</t>
    <phoneticPr fontId="2"/>
  </si>
  <si>
    <t xml:space="preserve">様式第2 第2表　機能別原価配分集計表
様式第2 第3表　需要種別原価整理表	</t>
    <rPh sb="0" eb="3">
      <t>ヨウシキ</t>
    </rPh>
    <rPh sb="5" eb="6">
      <t>ダイ1</t>
    </rPh>
    <rPh sb="9" eb="19">
      <t>キノウベテゥ</t>
    </rPh>
    <rPh sb="29" eb="33">
      <t>ジュヨウ</t>
    </rPh>
    <rPh sb="33" eb="35">
      <t xml:space="preserve">ゲンカ </t>
    </rPh>
    <rPh sb="35" eb="38">
      <t>セイ</t>
    </rPh>
    <phoneticPr fontId="2"/>
  </si>
  <si>
    <t>様式第2 第4表　供給約款料金原価と料金収入の比較表</t>
    <phoneticPr fontId="2"/>
  </si>
  <si>
    <t>別表第４（第９条関係） 機能別原価配分式
別表第5（第10条関係） 需要種別への原価配分式</t>
    <phoneticPr fontId="2"/>
  </si>
  <si>
    <t>変更内容</t>
    <rPh sb="0" eb="4">
      <t>ヘンコウ</t>
    </rPh>
    <phoneticPr fontId="2"/>
  </si>
  <si>
    <t>標準係数A　標準投資額</t>
    <rPh sb="0" eb="4">
      <t>ヒョウジュn</t>
    </rPh>
    <rPh sb="6" eb="11">
      <t>ヒョウジュn</t>
    </rPh>
    <phoneticPr fontId="2"/>
  </si>
  <si>
    <t>標準係数B その他</t>
    <rPh sb="0" eb="1">
      <t>ヒョウジュn</t>
    </rPh>
    <phoneticPr fontId="2"/>
  </si>
  <si>
    <t>（参考）需要構成率</t>
    <rPh sb="1" eb="3">
      <t>サンコウ</t>
    </rPh>
    <rPh sb="4" eb="9">
      <t>ジュヨウ</t>
    </rPh>
    <phoneticPr fontId="2"/>
  </si>
  <si>
    <t xml:space="preserve"> 0㎥から</t>
    <phoneticPr fontId="2"/>
  </si>
  <si>
    <r>
      <rPr>
        <sz val="11"/>
        <color rgb="FFFF0000"/>
        <rFont val="Meiryo UI"/>
        <family val="2"/>
        <charset val="128"/>
      </rPr>
      <t>基準</t>
    </r>
    <r>
      <rPr>
        <sz val="11"/>
        <rFont val="Meiryo UI"/>
        <family val="2"/>
        <charset val="128"/>
      </rPr>
      <t>単位</t>
    </r>
    <rPh sb="0" eb="4">
      <t>キジュn</t>
    </rPh>
    <phoneticPr fontId="23"/>
  </si>
  <si>
    <r>
      <rPr>
        <sz val="11"/>
        <color rgb="FFFF0000"/>
        <rFont val="Meiryo UI"/>
        <family val="2"/>
        <charset val="128"/>
      </rPr>
      <t>調整</t>
    </r>
    <r>
      <rPr>
        <sz val="11"/>
        <rFont val="Meiryo UI"/>
        <family val="2"/>
        <charset val="128"/>
      </rPr>
      <t>単位</t>
    </r>
    <rPh sb="0" eb="4">
      <t>チョウセイ</t>
    </rPh>
    <phoneticPr fontId="23"/>
  </si>
  <si>
    <t>導管の種類</t>
    <rPh sb="0" eb="2">
      <t>ドウカn</t>
    </rPh>
    <phoneticPr fontId="2"/>
  </si>
  <si>
    <t>地点数</t>
    <rPh sb="0" eb="3">
      <t>チテンスウ</t>
    </rPh>
    <phoneticPr fontId="2"/>
  </si>
  <si>
    <t>所要人員数</t>
    <rPh sb="0" eb="5">
      <t>ショヨウ</t>
    </rPh>
    <phoneticPr fontId="2"/>
  </si>
  <si>
    <t>鋼管</t>
    <rPh sb="0" eb="2">
      <t>コウカn</t>
    </rPh>
    <phoneticPr fontId="2"/>
  </si>
  <si>
    <t>PE管</t>
    <rPh sb="2" eb="3">
      <t>🥫</t>
    </rPh>
    <phoneticPr fontId="2"/>
  </si>
  <si>
    <t>労務費算定基礎</t>
    <rPh sb="0" eb="7">
      <t>ロウム</t>
    </rPh>
    <phoneticPr fontId="2"/>
  </si>
  <si>
    <t>現行の料金表の入力はできているか？</t>
    <rPh sb="0" eb="2">
      <t>ゲンコウ</t>
    </rPh>
    <rPh sb="7" eb="9">
      <t>ニュウリョク</t>
    </rPh>
    <phoneticPr fontId="2"/>
  </si>
  <si>
    <t>備考</t>
    <rPh sb="0" eb="2">
      <t>ビコウ</t>
    </rPh>
    <phoneticPr fontId="2"/>
  </si>
  <si>
    <t>案件名</t>
    <rPh sb="0" eb="3">
      <t>アンケn</t>
    </rPh>
    <phoneticPr fontId="2"/>
  </si>
  <si>
    <t>　</t>
    <phoneticPr fontId="2"/>
  </si>
  <si>
    <t>その他経費</t>
    <phoneticPr fontId="4"/>
  </si>
  <si>
    <t>減価償却費</t>
    <phoneticPr fontId="4"/>
  </si>
  <si>
    <t>小計</t>
    <phoneticPr fontId="4"/>
  </si>
  <si>
    <t>事業税</t>
    <phoneticPr fontId="4"/>
  </si>
  <si>
    <t>修繕費</t>
    <phoneticPr fontId="4"/>
  </si>
  <si>
    <t>労務費</t>
    <phoneticPr fontId="4"/>
  </si>
  <si>
    <t>原料費</t>
    <phoneticPr fontId="4"/>
  </si>
  <si>
    <t>事業報酬額</t>
    <phoneticPr fontId="4"/>
  </si>
  <si>
    <t>ガスの販売量</t>
    <phoneticPr fontId="4"/>
  </si>
  <si>
    <t>１㎥当たり単価</t>
    <rPh sb="2" eb="3">
      <t>ア</t>
    </rPh>
    <rPh sb="5" eb="6">
      <t>タン</t>
    </rPh>
    <rPh sb="6" eb="7">
      <t>アタイ</t>
    </rPh>
    <phoneticPr fontId="4"/>
  </si>
  <si>
    <t>金額(円)</t>
    <phoneticPr fontId="4"/>
  </si>
  <si>
    <t>構成比(%)</t>
    <phoneticPr fontId="4"/>
  </si>
  <si>
    <t>項目</t>
    <phoneticPr fontId="4"/>
  </si>
  <si>
    <t>個別原価項目</t>
    <phoneticPr fontId="2"/>
  </si>
  <si>
    <r>
      <t xml:space="preserve">様式第1_第1表で標準係数を採用するかどうかを選択→実数を採用する場合、販売量シートに入力。
</t>
    </r>
    <r>
      <rPr>
        <sz val="11"/>
        <color rgb="FFFF0000"/>
        <rFont val="Meiryo UI"/>
        <family val="2"/>
        <charset val="128"/>
      </rPr>
      <t>※供給約款以外の契約がある場合、標準係数は使えません。</t>
    </r>
    <rPh sb="0" eb="3">
      <t>ヨウシキ</t>
    </rPh>
    <rPh sb="5" eb="6">
      <t>ダイ1</t>
    </rPh>
    <rPh sb="9" eb="13">
      <t>ヒョウジュn</t>
    </rPh>
    <rPh sb="14" eb="16">
      <t>サイヨウ</t>
    </rPh>
    <rPh sb="23" eb="25">
      <t>センタク</t>
    </rPh>
    <rPh sb="26" eb="28">
      <t>ジッスウ</t>
    </rPh>
    <rPh sb="29" eb="31">
      <t>サイヨウ</t>
    </rPh>
    <rPh sb="36" eb="39">
      <t>ハンバイ</t>
    </rPh>
    <rPh sb="47" eb="51">
      <t>キョウキュウヤク</t>
    </rPh>
    <rPh sb="51" eb="53">
      <t>キョウキュウヤク</t>
    </rPh>
    <rPh sb="54" eb="56">
      <t>ケイヤク</t>
    </rPh>
    <rPh sb="62" eb="66">
      <t>ヒョウジュn</t>
    </rPh>
    <rPh sb="67" eb="68">
      <t>ツカエ</t>
    </rPh>
    <phoneticPr fontId="2"/>
  </si>
  <si>
    <t>法人税</t>
    <phoneticPr fontId="4"/>
  </si>
  <si>
    <t>住民税
（法人税割に限る。）</t>
    <rPh sb="5" eb="8">
      <t>ホウジンゼイ</t>
    </rPh>
    <rPh sb="8" eb="9">
      <t>ワ</t>
    </rPh>
    <rPh sb="10" eb="11">
      <t>カギ</t>
    </rPh>
    <phoneticPr fontId="4"/>
  </si>
  <si>
    <t>合計（総原価）</t>
    <rPh sb="3" eb="4">
      <t>ソウ</t>
    </rPh>
    <rPh sb="4" eb="6">
      <t xml:space="preserve">ゲンカ  </t>
    </rPh>
    <phoneticPr fontId="4"/>
  </si>
  <si>
    <r>
      <t xml:space="preserve">法人税・地方法人税・住民税
</t>
    </r>
    <r>
      <rPr>
        <sz val="11"/>
        <rFont val="ＭＳ 明朝"/>
        <family val="1"/>
        <charset val="128"/>
      </rPr>
      <t>（法人税割に限る。）</t>
    </r>
    <rPh sb="4" eb="6">
      <t>チホウ</t>
    </rPh>
    <rPh sb="6" eb="9">
      <t>ホウジンゼイ</t>
    </rPh>
    <rPh sb="15" eb="17">
      <t>ホウジン</t>
    </rPh>
    <rPh sb="17" eb="18">
      <t>ゼイ</t>
    </rPh>
    <rPh sb="18" eb="19">
      <t>ワ</t>
    </rPh>
    <rPh sb="20" eb="21">
      <t>カギ</t>
    </rPh>
    <phoneticPr fontId="4"/>
  </si>
  <si>
    <r>
      <t>ガスの販売量</t>
    </r>
    <r>
      <rPr>
        <sz val="11"/>
        <color theme="1"/>
        <rFont val="ＭＳ 明朝"/>
        <family val="1"/>
        <charset val="128"/>
      </rPr>
      <t>（ｂ）
（㎥）</t>
    </r>
    <rPh sb="3" eb="5">
      <t>ハンバイ</t>
    </rPh>
    <rPh sb="5" eb="6">
      <t>リョウ</t>
    </rPh>
    <phoneticPr fontId="27"/>
  </si>
  <si>
    <r>
      <t>平均単価</t>
    </r>
    <r>
      <rPr>
        <sz val="11"/>
        <color theme="1"/>
        <rFont val="ＭＳ 明朝"/>
        <family val="1"/>
        <charset val="128"/>
      </rPr>
      <t>（ａ／ｂ）
（円／㎥）</t>
    </r>
    <rPh sb="0" eb="2">
      <t>ヘイキン</t>
    </rPh>
    <rPh sb="2" eb="4">
      <t>タンカ</t>
    </rPh>
    <phoneticPr fontId="27"/>
  </si>
  <si>
    <r>
      <t>(B③</t>
    </r>
    <r>
      <rPr>
        <sz val="10"/>
        <color theme="1"/>
        <rFont val="ＭＳ 明朝"/>
        <family val="1"/>
        <charset val="128"/>
      </rPr>
      <t xml:space="preserve"> × 軽減係数(f3) × 1/2) ＝ </t>
    </r>
    <phoneticPr fontId="4"/>
  </si>
  <si>
    <t>車　   両(B⑥)</t>
    <phoneticPr fontId="4"/>
  </si>
  <si>
    <t>×　地方税法に定める標準税率(f2)＝土地に係る固定資産税額(F①)</t>
    <rPh sb="2" eb="5">
      <t>チホウゼイ</t>
    </rPh>
    <rPh sb="5" eb="6">
      <t>ホウ</t>
    </rPh>
    <rPh sb="7" eb="8">
      <t>サダ</t>
    </rPh>
    <rPh sb="10" eb="12">
      <t>ヒョウジュン</t>
    </rPh>
    <rPh sb="12" eb="14">
      <t>ゼイリツ</t>
    </rPh>
    <rPh sb="19" eb="21">
      <t>トチ</t>
    </rPh>
    <rPh sb="22" eb="23">
      <t>カカワ</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</si>
</sst>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5">
    <numFmt numFmtId="176" formatCode="#,##0.0"/>
    <numFmt numFmtId="177" formatCode="0.00_ "/>
    <numFmt numFmtId="178" formatCode="0.000_ "/>
    <numFmt numFmtId="179" formatCode="0.000"/>
    <numFmt numFmtId="180" formatCode="0.0000_ "/>
    <numFmt numFmtId="181" formatCode="0.000_);[Red]\(0.000\)"/>
    <numFmt numFmtId="182" formatCode="0.0"/>
    <numFmt numFmtId="183" formatCode="[&lt;=43585][$-411]ggge&quot;年&quot;m&quot;月&quot;d&quot;日&quot;;[&gt;=43831]ggge&quot;年&quot;m&quot;月&quot;d&quot;日&quot;;ggg&quot;元年&quot;m&quot;月&quot;d&quot;日&quot;\ "/>
    <numFmt numFmtId="184" formatCode="#,##0.00&quot;㎡&quot;"/>
    <numFmt numFmtId="185" formatCode="#,##0&quot;円&quot;"/>
    <numFmt numFmtId="186" formatCode="#,##0&quot;円/㎡&quot;"/>
    <numFmt numFmtId="187" formatCode="#,##0&quot;㎡&quot;"/>
    <numFmt numFmtId="188" formatCode="#,##0.0;[Red]\-#,##0.0"/>
    <numFmt numFmtId="189" formatCode="yyyy/mm/dd"/>
    <numFmt numFmtId="190" formatCode="#,##0.000;[Red]\-#,##0.000"/>
    <numFmt numFmtId="191" formatCode="0.0%"/>
    <numFmt numFmtId="192" formatCode="#,##0.00000;[Red]\-#,##0.00000"/>
    <numFmt numFmtId="193" formatCode="#,##0.0000;[Red]\-#,##0.0000"/>
    <numFmt numFmtId="194" formatCode="#,##0.0_ ;[Red]\-#,##0.0\ "/>
    <numFmt numFmtId="195" formatCode="&quot;参照月:&quot;#,##0"/>
    <numFmt numFmtId="196" formatCode="0&quot;㎥まで&quot;"/>
    <numFmt numFmtId="197" formatCode="0&quot;㎥&quot;&quot;を&quot;&quot;超&quot;&quot;え&quot;&quot;&quot;"/>
    <numFmt numFmtId="198" formatCode="0&quot;㎥&quot;&quot;を&quot;&quot;超&quot;&quot;え&quot;&quot;る&quot;&quot;も&quot;&quot;の&quot;"/>
    <numFmt numFmtId="199" formatCode="#,##0_);[Red]\(#,##0\)"/>
    <numFmt numFmtId="200" formatCode="#,##0.0_);[Red]\(#,##0.0\)"/>
  </numFmts>
  <fonts count="51">
    <font>
      <sz val="12"/>
      <color theme="1"/>
      <name val="MeiryoUI"/>
      <family val="2"/>
      <charset val="128"/>
    </font>
    <font>
      <sz val="12"/>
      <color theme="1"/>
      <name val="MeiryoUI"/>
      <family val="2"/>
      <charset val="128"/>
    </font>
    <font>
      <sz val="6"/>
      <name val="MeiryoUI"/>
      <family val="2"/>
      <charset val="128"/>
    </font>
    <font>
      <sz val="12"/>
      <name val="ＭＳ 明朝"/>
      <family val="1"/>
      <charset val="128"/>
    </font>
    <font>
      <sz val="6"/>
      <name val="ＭＳ Ｐ明朝"/>
      <family val="1"/>
      <charset val="128"/>
    </font>
    <font>
      <u/>
      <sz val="12"/>
      <color indexed="8"/>
      <name val="ＭＳ 明朝"/>
      <family val="1"/>
      <charset val="128"/>
    </font>
    <font>
      <u/>
      <sz val="12"/>
      <name val="ＭＳ 明朝"/>
      <family val="1"/>
      <charset val="128"/>
    </font>
    <font>
      <sz val="12"/>
      <color indexed="8"/>
      <name val="ＭＳ 明朝"/>
      <family val="1"/>
      <charset val="128"/>
    </font>
    <font>
      <u/>
      <sz val="12"/>
      <color indexed="8"/>
      <name val="ＭＳ ゴシック"/>
      <family val="3"/>
      <charset val="128"/>
    </font>
    <font>
      <sz val="12"/>
      <color indexed="8"/>
      <name val="ＭＳ ゴシック"/>
      <family val="3"/>
      <charset val="128"/>
    </font>
    <font>
      <sz val="12"/>
      <color indexed="12"/>
      <name val="ＭＳ 明朝"/>
      <family val="1"/>
      <charset val="128"/>
    </font>
    <font>
      <b/>
      <sz val="12"/>
      <name val="ＭＳ 明朝"/>
      <family val="1"/>
      <charset val="128"/>
    </font>
    <font>
      <sz val="10"/>
      <name val="ＭＳ 明朝"/>
      <family val="1"/>
      <charset val="128"/>
    </font>
    <font>
      <sz val="24"/>
      <name val="ＭＳ 明朝"/>
      <family val="1"/>
      <charset val="128"/>
    </font>
    <font>
      <sz val="12"/>
      <color theme="1"/>
      <name val="ＭＳ 明朝"/>
      <family val="1"/>
      <charset val="128"/>
    </font>
    <font>
      <sz val="12"/>
      <color rgb="FFFF0000"/>
      <name val="ＭＳ 明朝"/>
      <family val="1"/>
      <charset val="128"/>
    </font>
    <font>
      <sz val="10"/>
      <color theme="1"/>
      <name val="Arial"/>
      <family val="2"/>
    </font>
    <font>
      <sz val="12"/>
      <color theme="1"/>
      <name val="Meiryo UI"/>
      <family val="2"/>
      <charset val="128"/>
    </font>
    <font>
      <sz val="12"/>
      <color rgb="FFFF0000"/>
      <name val="Meiryo UI"/>
      <family val="2"/>
      <charset val="128"/>
    </font>
    <font>
      <sz val="12"/>
      <name val="Meiryo UI"/>
      <family val="2"/>
      <charset val="128"/>
    </font>
    <font>
      <u/>
      <sz val="12"/>
      <color theme="10"/>
      <name val="MeiryoUI"/>
      <family val="2"/>
      <charset val="128"/>
    </font>
    <font>
      <u/>
      <sz val="12"/>
      <color theme="10"/>
      <name val="ＭＳ 明朝"/>
      <family val="1"/>
      <charset val="128"/>
    </font>
    <font>
      <u/>
      <sz val="14"/>
      <color theme="1"/>
      <name val="Meiryo UI"/>
      <family val="2"/>
      <charset val="128"/>
    </font>
    <font>
      <sz val="6"/>
      <name val="ＭＳ ゴシック"/>
      <family val="3"/>
      <charset val="128"/>
    </font>
    <font>
      <sz val="10"/>
      <color rgb="FF000000"/>
      <name val="Arial Unicode MS"/>
      <family val="2"/>
    </font>
    <font>
      <sz val="10"/>
      <color theme="1"/>
      <name val="ＭＳ 明朝"/>
      <family val="1"/>
      <charset val="128"/>
    </font>
    <font>
      <sz val="12"/>
      <color theme="1"/>
      <name val="Apple Color Emoji"/>
      <family val="2"/>
    </font>
    <font>
      <sz val="6"/>
      <name val="ＭＳ 明朝"/>
      <family val="1"/>
      <charset val="128"/>
    </font>
    <font>
      <sz val="14"/>
      <name val="ＭＳ 明朝"/>
      <family val="1"/>
      <charset val="128"/>
    </font>
    <font>
      <sz val="11"/>
      <name val="ＭＳ Ｐゴシック"/>
      <family val="3"/>
      <charset val="128"/>
    </font>
    <font>
      <sz val="7"/>
      <name val="ＭＳ Ｐ明朝"/>
      <family val="1"/>
      <charset val="128"/>
    </font>
    <font>
      <sz val="11"/>
      <color theme="1"/>
      <name val="Meiryo UI"/>
      <family val="2"/>
      <charset val="128"/>
    </font>
    <font>
      <sz val="11"/>
      <name val="Meiryo UI"/>
      <family val="2"/>
      <charset val="128"/>
    </font>
    <font>
      <sz val="11"/>
      <color rgb="FFFF0000"/>
      <name val="Meiryo UI"/>
      <family val="2"/>
      <charset val="128"/>
    </font>
    <font>
      <sz val="12"/>
      <color rgb="FFFF0000"/>
      <name val="MeiryoUI"/>
      <family val="2"/>
      <charset val="128"/>
    </font>
    <font>
      <sz val="12"/>
      <color theme="1"/>
      <name val="ＭＳ ゴシック"/>
      <family val="2"/>
      <charset val="128"/>
    </font>
    <font>
      <sz val="10"/>
      <color rgb="FFFF0000"/>
      <name val="Meiryo UI"/>
      <family val="2"/>
      <charset val="128"/>
    </font>
    <font>
      <u/>
      <sz val="10"/>
      <color theme="10"/>
      <name val="MeiryoUI"/>
      <family val="2"/>
      <charset val="128"/>
    </font>
    <font>
      <sz val="8"/>
      <color theme="1"/>
      <name val="ＭＳ 明朝"/>
      <family val="1"/>
      <charset val="128"/>
    </font>
    <font>
      <sz val="8"/>
      <name val="ＭＳ 明朝"/>
      <family val="1"/>
      <charset val="128"/>
    </font>
    <font>
      <sz val="8"/>
      <color indexed="8"/>
      <name val="ＭＳ 明朝"/>
      <family val="1"/>
      <charset val="128"/>
    </font>
    <font>
      <sz val="11"/>
      <color theme="1"/>
      <name val="ＭＳ 明朝"/>
      <family val="1"/>
      <charset val="128"/>
    </font>
    <font>
      <sz val="11"/>
      <name val="ＭＳ 明朝"/>
      <family val="1"/>
      <charset val="128"/>
    </font>
    <font>
      <u/>
      <sz val="10"/>
      <color theme="10"/>
      <name val="MeiryoUI"/>
      <charset val="128"/>
    </font>
    <font>
      <u/>
      <sz val="10"/>
      <color theme="10"/>
      <name val="MeiryoUI"/>
      <family val="3"/>
      <charset val="128"/>
    </font>
    <font>
      <u/>
      <sz val="12"/>
      <color theme="10"/>
      <name val="MeiryoUI"/>
      <charset val="128"/>
    </font>
    <font>
      <u/>
      <sz val="12"/>
      <color theme="10"/>
      <name val="MeiryoUI"/>
      <family val="3"/>
      <charset val="128"/>
    </font>
    <font>
      <sz val="11"/>
      <color indexed="8"/>
      <name val="ＭＳ 明朝"/>
      <family val="1"/>
      <charset val="128"/>
    </font>
    <font>
      <sz val="10"/>
      <color indexed="8"/>
      <name val="ＭＳ 明朝"/>
      <family val="1"/>
      <charset val="128"/>
    </font>
    <font>
      <sz val="9"/>
      <color indexed="8"/>
      <name val="ＭＳ 明朝"/>
      <family val="1"/>
      <charset val="128"/>
    </font>
    <font>
      <sz val="9"/>
      <color theme="1"/>
      <name val="ＭＳ 明朝"/>
      <family val="1"/>
      <charset val="128"/>
    </font>
  </fonts>
  <fills count="6">
    <fill>
      <patternFill patternType="none"/>
    </fill>
    <fill>
      <patternFill patternType="gray125"/>
    </fill>
    <fill>
      <patternFill patternType="solid">
        <fgColor theme="3" tint="0.89999084444715716"/>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0" tint="-0.14999847407452621"/>
        <bgColor indexed="64"/>
      </patternFill>
    </fill>
  </fills>
  <borders count="139">
    <border>
      <left/>
      <right/>
      <top/>
      <bottom/>
      <diagonal/>
    </border>
    <border>
      <left/>
      <right/>
      <top/>
      <bottom style="medium">
        <color indexed="64"/>
      </bottom>
      <diagonal/>
    </border>
    <border>
      <left style="medium">
        <color indexed="64"/>
      </left>
      <right/>
      <top style="medium">
        <color indexed="64"/>
      </top>
      <bottom style="thin">
        <color indexed="8"/>
      </bottom>
      <diagonal/>
    </border>
    <border>
      <left/>
      <right/>
      <top style="medium">
        <color indexed="64"/>
      </top>
      <bottom style="thin">
        <color indexed="8"/>
      </bottom>
      <diagonal/>
    </border>
    <border>
      <left/>
      <right style="medium">
        <color indexed="64"/>
      </right>
      <top style="medium">
        <color indexed="64"/>
      </top>
      <bottom style="thin">
        <color indexed="8"/>
      </bottom>
      <diagonal/>
    </border>
    <border>
      <left style="medium">
        <color indexed="64"/>
      </left>
      <right/>
      <top style="thin">
        <color indexed="8"/>
      </top>
      <bottom style="medium">
        <color indexed="64"/>
      </bottom>
      <diagonal/>
    </border>
    <border>
      <left/>
      <right/>
      <top style="thin">
        <color indexed="8"/>
      </top>
      <bottom style="medium">
        <color indexed="64"/>
      </bottom>
      <diagonal/>
    </border>
    <border>
      <left style="thin">
        <color indexed="8"/>
      </left>
      <right/>
      <top style="thin">
        <color indexed="8"/>
      </top>
      <bottom style="medium">
        <color indexed="64"/>
      </bottom>
      <diagonal/>
    </border>
    <border>
      <left/>
      <right style="medium">
        <color indexed="64"/>
      </right>
      <top style="thin">
        <color indexed="8"/>
      </top>
      <bottom style="medium">
        <color indexed="64"/>
      </bottom>
      <diagonal/>
    </border>
    <border>
      <left/>
      <right style="thin">
        <color indexed="8"/>
      </right>
      <top style="thin">
        <color indexed="8"/>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8"/>
      </right>
      <top style="medium">
        <color indexed="64"/>
      </top>
      <bottom style="medium">
        <color indexed="64"/>
      </bottom>
      <diagonal/>
    </border>
    <border>
      <left style="thin">
        <color indexed="8"/>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8"/>
      </left>
      <right style="thin">
        <color indexed="8"/>
      </right>
      <top style="thin">
        <color indexed="8"/>
      </top>
      <bottom style="medium">
        <color indexed="64"/>
      </bottom>
      <diagonal/>
    </border>
    <border>
      <left/>
      <right style="thin">
        <color indexed="8"/>
      </right>
      <top style="medium">
        <color indexed="64"/>
      </top>
      <bottom style="thin">
        <color indexed="8"/>
      </bottom>
      <diagonal/>
    </border>
    <border>
      <left style="thin">
        <color indexed="8"/>
      </left>
      <right/>
      <top style="medium">
        <color indexed="64"/>
      </top>
      <bottom/>
      <diagonal/>
    </border>
    <border>
      <left style="thin">
        <color indexed="8"/>
      </left>
      <right/>
      <top style="medium">
        <color indexed="64"/>
      </top>
      <bottom style="thin">
        <color indexed="8"/>
      </bottom>
      <diagonal/>
    </border>
    <border>
      <left style="medium">
        <color indexed="64"/>
      </left>
      <right style="thin">
        <color indexed="8"/>
      </right>
      <top style="thin">
        <color indexed="8"/>
      </top>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diagonal/>
    </border>
    <border>
      <left/>
      <right/>
      <top style="thin">
        <color indexed="8"/>
      </top>
      <bottom/>
      <diagonal/>
    </border>
    <border>
      <left/>
      <right style="medium">
        <color indexed="64"/>
      </right>
      <top style="thin">
        <color indexed="8"/>
      </top>
      <bottom/>
      <diagonal/>
    </border>
    <border>
      <left style="medium">
        <color indexed="64"/>
      </left>
      <right style="thin">
        <color indexed="8"/>
      </right>
      <top/>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style="medium">
        <color indexed="64"/>
      </left>
      <right style="thin">
        <color indexed="8"/>
      </right>
      <top/>
      <bottom style="thin">
        <color indexed="8"/>
      </bottom>
      <diagonal/>
    </border>
    <border>
      <left/>
      <right/>
      <top style="medium">
        <color indexed="64"/>
      </top>
      <bottom/>
      <diagonal/>
    </border>
    <border>
      <left/>
      <right style="medium">
        <color indexed="64"/>
      </right>
      <top style="medium">
        <color indexed="64"/>
      </top>
      <bottom/>
      <diagonal/>
    </border>
    <border>
      <left style="thin">
        <color indexed="8"/>
      </left>
      <right/>
      <top style="thin">
        <color indexed="64"/>
      </top>
      <bottom style="thin">
        <color indexed="64"/>
      </bottom>
      <diagonal/>
    </border>
    <border>
      <left style="medium">
        <color indexed="64"/>
      </left>
      <right style="medium">
        <color indexed="64"/>
      </right>
      <top style="medium">
        <color indexed="64"/>
      </top>
      <bottom/>
      <diagonal/>
    </border>
    <border>
      <left style="thin">
        <color indexed="64"/>
      </left>
      <right/>
      <top style="medium">
        <color indexed="64"/>
      </top>
      <bottom style="thin">
        <color indexed="8"/>
      </bottom>
      <diagonal/>
    </border>
    <border>
      <left style="thin">
        <color indexed="8"/>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top style="thin">
        <color indexed="8"/>
      </top>
      <bottom style="medium">
        <color indexed="64"/>
      </bottom>
      <diagonal/>
    </border>
    <border>
      <left style="thin">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style="medium">
        <color indexed="64"/>
      </right>
      <top style="thin">
        <color indexed="8"/>
      </top>
      <bottom/>
      <diagonal/>
    </border>
    <border>
      <left style="medium">
        <color indexed="64"/>
      </left>
      <right/>
      <top style="thin">
        <color indexed="8"/>
      </top>
      <bottom/>
      <diagonal/>
    </border>
    <border>
      <left style="thin">
        <color indexed="8"/>
      </left>
      <right style="medium">
        <color indexed="64"/>
      </right>
      <top style="thin">
        <color indexed="8"/>
      </top>
      <bottom/>
      <diagonal/>
    </border>
    <border>
      <left style="medium">
        <color indexed="64"/>
      </left>
      <right style="medium">
        <color indexed="64"/>
      </right>
      <top style="thin">
        <color indexed="8"/>
      </top>
      <bottom style="medium">
        <color indexed="64"/>
      </bottom>
      <diagonal/>
    </border>
    <border>
      <left style="thin">
        <color indexed="8"/>
      </left>
      <right style="medium">
        <color indexed="64"/>
      </right>
      <top style="thin">
        <color indexed="8"/>
      </top>
      <bottom style="medium">
        <color indexed="64"/>
      </bottom>
      <diagonal/>
    </border>
    <border>
      <left/>
      <right style="thin">
        <color indexed="8"/>
      </right>
      <top style="medium">
        <color indexed="64"/>
      </top>
      <bottom/>
      <diagonal/>
    </border>
    <border>
      <left style="medium">
        <color indexed="64"/>
      </left>
      <right/>
      <top style="thin">
        <color indexed="64"/>
      </top>
      <bottom style="thin">
        <color indexed="64"/>
      </bottom>
      <diagonal/>
    </border>
    <border>
      <left/>
      <right style="thin">
        <color indexed="8"/>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style="thin">
        <color indexed="8"/>
      </right>
      <top/>
      <bottom style="medium">
        <color indexed="64"/>
      </bottom>
      <diagonal/>
    </border>
    <border>
      <left style="thin">
        <color indexed="8"/>
      </left>
      <right/>
      <top/>
      <bottom style="medium">
        <color indexed="64"/>
      </bottom>
      <diagonal/>
    </border>
    <border>
      <left/>
      <right style="medium">
        <color indexed="64"/>
      </right>
      <top/>
      <bottom style="medium">
        <color indexed="64"/>
      </bottom>
      <diagonal/>
    </border>
    <border>
      <left style="thin">
        <color indexed="8"/>
      </left>
      <right style="thin">
        <color indexed="8"/>
      </right>
      <top style="medium">
        <color indexed="64"/>
      </top>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8"/>
      </left>
      <right style="medium">
        <color indexed="64"/>
      </right>
      <top/>
      <bottom style="thin">
        <color indexed="8"/>
      </bottom>
      <diagonal/>
    </border>
    <border diagonalUp="1">
      <left style="thin">
        <color indexed="8"/>
      </left>
      <right style="thin">
        <color indexed="8"/>
      </right>
      <top style="thin">
        <color indexed="8"/>
      </top>
      <bottom style="thin">
        <color indexed="8"/>
      </bottom>
      <diagonal style="thin">
        <color indexed="8"/>
      </diagonal>
    </border>
    <border>
      <left style="medium">
        <color indexed="64"/>
      </left>
      <right/>
      <top/>
      <bottom/>
      <diagonal/>
    </border>
    <border>
      <left/>
      <right/>
      <top style="thin">
        <color indexed="8"/>
      </top>
      <bottom style="thin">
        <color indexed="8"/>
      </bottom>
      <diagonal/>
    </border>
    <border>
      <left style="medium">
        <color indexed="64"/>
      </left>
      <right style="thin">
        <color indexed="8"/>
      </right>
      <top style="medium">
        <color indexed="64"/>
      </top>
      <bottom/>
      <diagonal/>
    </border>
    <border>
      <left/>
      <right style="thin">
        <color indexed="8"/>
      </right>
      <top style="thin">
        <color indexed="8"/>
      </top>
      <bottom/>
      <diagonal/>
    </border>
    <border>
      <left style="thin">
        <color indexed="8"/>
      </left>
      <right style="thin">
        <color indexed="64"/>
      </right>
      <top style="thin">
        <color indexed="8"/>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8"/>
      </left>
      <right style="thin">
        <color indexed="64"/>
      </right>
      <top/>
      <bottom/>
      <diagonal/>
    </border>
    <border>
      <left style="thin">
        <color indexed="64"/>
      </left>
      <right style="thin">
        <color indexed="64"/>
      </right>
      <top/>
      <bottom style="thin">
        <color indexed="64"/>
      </bottom>
      <diagonal/>
    </border>
    <border>
      <left style="thin">
        <color indexed="8"/>
      </left>
      <right style="thin">
        <color indexed="64"/>
      </right>
      <top/>
      <bottom style="thin">
        <color indexed="8"/>
      </bottom>
      <diagonal/>
    </border>
    <border>
      <left style="thin">
        <color indexed="64"/>
      </left>
      <right style="thin">
        <color indexed="64"/>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medium">
        <color indexed="64"/>
      </right>
      <top style="thin">
        <color indexed="8"/>
      </top>
      <bottom style="thin">
        <color indexed="8"/>
      </bottom>
      <diagonal/>
    </border>
    <border>
      <left style="medium">
        <color indexed="64"/>
      </left>
      <right style="thin">
        <color indexed="8"/>
      </right>
      <top/>
      <bottom style="double">
        <color indexed="8"/>
      </bottom>
      <diagonal/>
    </border>
    <border>
      <left style="thin">
        <color indexed="8"/>
      </left>
      <right/>
      <top style="thin">
        <color indexed="8"/>
      </top>
      <bottom style="double">
        <color indexed="8"/>
      </bottom>
      <diagonal/>
    </border>
    <border>
      <left/>
      <right/>
      <top style="thin">
        <color indexed="8"/>
      </top>
      <bottom style="double">
        <color indexed="8"/>
      </bottom>
      <diagonal/>
    </border>
    <border>
      <left/>
      <right style="thin">
        <color indexed="8"/>
      </right>
      <top style="thin">
        <color indexed="8"/>
      </top>
      <bottom style="double">
        <color indexed="8"/>
      </bottom>
      <diagonal/>
    </border>
    <border>
      <left/>
      <right style="medium">
        <color indexed="64"/>
      </right>
      <top style="thin">
        <color indexed="8"/>
      </top>
      <bottom style="double">
        <color indexed="8"/>
      </bottom>
      <diagonal/>
    </border>
    <border>
      <left style="medium">
        <color indexed="64"/>
      </left>
      <right/>
      <top style="double">
        <color indexed="8"/>
      </top>
      <bottom style="medium">
        <color indexed="64"/>
      </bottom>
      <diagonal/>
    </border>
    <border>
      <left/>
      <right/>
      <top style="double">
        <color indexed="8"/>
      </top>
      <bottom style="medium">
        <color indexed="64"/>
      </bottom>
      <diagonal/>
    </border>
    <border>
      <left/>
      <right style="thin">
        <color indexed="8"/>
      </right>
      <top style="double">
        <color indexed="8"/>
      </top>
      <bottom style="medium">
        <color indexed="64"/>
      </bottom>
      <diagonal/>
    </border>
    <border>
      <left style="thin">
        <color indexed="8"/>
      </left>
      <right/>
      <top style="double">
        <color indexed="8"/>
      </top>
      <bottom style="medium">
        <color indexed="64"/>
      </bottom>
      <diagonal/>
    </border>
    <border>
      <left/>
      <right style="medium">
        <color indexed="64"/>
      </right>
      <top style="double">
        <color indexed="8"/>
      </top>
      <bottom style="medium">
        <color indexed="64"/>
      </bottom>
      <diagonal/>
    </border>
    <border>
      <left/>
      <right style="medium">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8"/>
      </right>
      <top/>
      <bottom style="thin">
        <color indexed="64"/>
      </bottom>
      <diagonal/>
    </border>
    <border>
      <left style="thin">
        <color indexed="8"/>
      </left>
      <right/>
      <top/>
      <bottom style="thin">
        <color indexed="64"/>
      </bottom>
      <diagonal/>
    </border>
    <border>
      <left/>
      <right/>
      <top/>
      <bottom style="thin">
        <color indexed="64"/>
      </bottom>
      <diagonal/>
    </border>
    <border>
      <left/>
      <right style="thin">
        <color indexed="8"/>
      </right>
      <top/>
      <bottom style="thin">
        <color indexed="64"/>
      </bottom>
      <diagonal/>
    </border>
    <border>
      <left style="medium">
        <color indexed="64"/>
      </left>
      <right style="thin">
        <color indexed="64"/>
      </right>
      <top style="thin">
        <color indexed="64"/>
      </top>
      <bottom/>
      <diagonal/>
    </border>
    <border>
      <left/>
      <right style="thin">
        <color indexed="8"/>
      </right>
      <top style="thin">
        <color indexed="64"/>
      </top>
      <bottom/>
      <diagonal/>
    </border>
    <border>
      <left style="thin">
        <color indexed="8"/>
      </left>
      <right style="thin">
        <color indexed="8"/>
      </right>
      <top style="thin">
        <color indexed="8"/>
      </top>
      <bottom style="hair">
        <color indexed="8"/>
      </bottom>
      <diagonal/>
    </border>
    <border>
      <left/>
      <right style="thin">
        <color indexed="8"/>
      </right>
      <top style="thin">
        <color indexed="8"/>
      </top>
      <bottom style="thin">
        <color indexed="64"/>
      </bottom>
      <diagonal/>
    </border>
    <border>
      <left style="thin">
        <color indexed="64"/>
      </left>
      <right/>
      <top/>
      <bottom style="medium">
        <color indexed="64"/>
      </bottom>
      <diagonal/>
    </border>
    <border>
      <left style="medium">
        <color indexed="8"/>
      </left>
      <right style="thin">
        <color indexed="8"/>
      </right>
      <top style="medium">
        <color indexed="8"/>
      </top>
      <bottom/>
      <diagonal/>
    </border>
    <border>
      <left style="thin">
        <color indexed="8"/>
      </left>
      <right style="thin">
        <color indexed="8"/>
      </right>
      <top style="medium">
        <color indexed="8"/>
      </top>
      <bottom/>
      <diagonal/>
    </border>
    <border>
      <left/>
      <right/>
      <top style="medium">
        <color indexed="8"/>
      </top>
      <bottom/>
      <diagonal/>
    </border>
    <border>
      <left/>
      <right/>
      <top style="medium">
        <color indexed="8"/>
      </top>
      <bottom style="thin">
        <color indexed="8"/>
      </bottom>
      <diagonal/>
    </border>
    <border>
      <left/>
      <right style="medium">
        <color indexed="8"/>
      </right>
      <top style="medium">
        <color indexed="8"/>
      </top>
      <bottom/>
      <diagonal/>
    </border>
    <border>
      <left style="medium">
        <color indexed="8"/>
      </left>
      <right style="thin">
        <color indexed="8"/>
      </right>
      <top/>
      <bottom/>
      <diagonal/>
    </border>
    <border>
      <left/>
      <right style="medium">
        <color indexed="8"/>
      </right>
      <top/>
      <bottom/>
      <diagonal/>
    </border>
    <border>
      <left/>
      <right style="medium">
        <color indexed="8"/>
      </right>
      <top style="thin">
        <color indexed="8"/>
      </top>
      <bottom/>
      <diagonal/>
    </border>
    <border>
      <left style="medium">
        <color indexed="8"/>
      </left>
      <right style="thin">
        <color indexed="8"/>
      </right>
      <top/>
      <bottom style="thin">
        <color indexed="8"/>
      </bottom>
      <diagonal/>
    </border>
    <border>
      <left style="thin">
        <color indexed="8"/>
      </left>
      <right/>
      <top/>
      <bottom/>
      <diagonal/>
    </border>
    <border>
      <left style="medium">
        <color indexed="64"/>
      </left>
      <right/>
      <top style="thin">
        <color indexed="64"/>
      </top>
      <bottom/>
      <diagonal/>
    </border>
    <border>
      <left/>
      <right style="medium">
        <color indexed="64"/>
      </right>
      <top style="thin">
        <color indexed="64"/>
      </top>
      <bottom/>
      <diagonal/>
    </border>
    <border>
      <left/>
      <right style="thin">
        <color indexed="8"/>
      </right>
      <top/>
      <bottom/>
      <diagonal/>
    </border>
    <border>
      <left style="medium">
        <color indexed="64"/>
      </left>
      <right style="thin">
        <color indexed="8"/>
      </right>
      <top/>
      <bottom style="medium">
        <color indexed="64"/>
      </bottom>
      <diagonal/>
    </border>
    <border>
      <left style="thin">
        <color indexed="64"/>
      </left>
      <right style="thin">
        <color indexed="8"/>
      </right>
      <top style="medium">
        <color indexed="64"/>
      </top>
      <bottom/>
      <diagonal/>
    </border>
    <border>
      <left style="thin">
        <color indexed="64"/>
      </left>
      <right style="thin">
        <color indexed="8"/>
      </right>
      <top/>
      <bottom/>
      <diagonal/>
    </border>
    <border>
      <left style="thin">
        <color indexed="64"/>
      </left>
      <right style="thin">
        <color indexed="8"/>
      </right>
      <top/>
      <bottom style="thin">
        <color indexed="64"/>
      </bottom>
      <diagonal/>
    </border>
    <border>
      <left/>
      <right style="medium">
        <color indexed="64"/>
      </right>
      <top/>
      <bottom style="thin">
        <color indexed="64"/>
      </bottom>
      <diagonal/>
    </border>
    <border>
      <left style="thin">
        <color indexed="64"/>
      </left>
      <right style="thin">
        <color indexed="8"/>
      </right>
      <top style="thin">
        <color indexed="64"/>
      </top>
      <bottom/>
      <diagonal/>
    </border>
    <border>
      <left style="thin">
        <color indexed="8"/>
      </left>
      <right style="thin">
        <color indexed="8"/>
      </right>
      <top style="thin">
        <color indexed="64"/>
      </top>
      <bottom/>
      <diagonal/>
    </border>
    <border>
      <left style="thin">
        <color indexed="8"/>
      </left>
      <right style="thin">
        <color indexed="64"/>
      </right>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8"/>
      </left>
      <right style="medium">
        <color indexed="64"/>
      </right>
      <top style="thin">
        <color indexed="8"/>
      </top>
      <bottom style="hair">
        <color indexed="8"/>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s>
  <cellStyleXfs count="12">
    <xf numFmtId="0" fontId="0" fillId="0" borderId="0">
      <alignment vertical="center"/>
    </xf>
    <xf numFmtId="38" fontId="1" fillId="0" borderId="0" applyFont="0" applyFill="0" applyBorder="0" applyAlignment="0" applyProtection="0">
      <alignment vertical="center"/>
    </xf>
    <xf numFmtId="0" fontId="3" fillId="0" borderId="0"/>
    <xf numFmtId="0" fontId="3" fillId="0" borderId="0"/>
    <xf numFmtId="0" fontId="3" fillId="0" borderId="0"/>
    <xf numFmtId="0" fontId="3" fillId="0" borderId="0"/>
    <xf numFmtId="9" fontId="1" fillId="0" borderId="0" applyFont="0" applyFill="0" applyBorder="0" applyAlignment="0" applyProtection="0">
      <alignment vertical="center"/>
    </xf>
    <xf numFmtId="0" fontId="20" fillId="0" borderId="0" applyNumberFormat="0" applyFill="0" applyBorder="0" applyAlignment="0" applyProtection="0">
      <alignment vertical="center"/>
    </xf>
    <xf numFmtId="182" fontId="3" fillId="0" borderId="0"/>
    <xf numFmtId="38" fontId="29" fillId="0" borderId="0" applyFont="0" applyFill="0" applyBorder="0" applyAlignment="0" applyProtection="0"/>
    <xf numFmtId="0" fontId="28" fillId="0" borderId="0"/>
    <xf numFmtId="9" fontId="29" fillId="0" borderId="0" applyFont="0" applyFill="0" applyBorder="0" applyAlignment="0" applyProtection="0"/>
  </cellStyleXfs>
  <cellXfs count="696">
    <xf numFmtId="0" fontId="0" fillId="0" borderId="0" xfId="0">
      <alignment vertical="center"/>
    </xf>
    <xf numFmtId="0" fontId="3" fillId="0" borderId="0" xfId="2" applyProtection="1">
      <protection locked="0"/>
    </xf>
    <xf numFmtId="0" fontId="3" fillId="0" borderId="0" xfId="2"/>
    <xf numFmtId="0" fontId="6" fillId="0" borderId="0" xfId="0" applyFont="1" applyAlignment="1" applyProtection="1">
      <alignment horizontal="center"/>
      <protection locked="0"/>
    </xf>
    <xf numFmtId="0" fontId="7" fillId="0" borderId="0" xfId="2" applyFont="1"/>
    <xf numFmtId="176" fontId="7" fillId="0" borderId="5" xfId="2" applyNumberFormat="1" applyFont="1" applyBorder="1"/>
    <xf numFmtId="0" fontId="7" fillId="0" borderId="6" xfId="2" applyFont="1" applyBorder="1" applyAlignment="1">
      <alignment horizontal="center"/>
    </xf>
    <xf numFmtId="4" fontId="7" fillId="0" borderId="7" xfId="2" applyNumberFormat="1" applyFont="1" applyBorder="1"/>
    <xf numFmtId="0" fontId="7" fillId="0" borderId="8" xfId="2" applyFont="1" applyBorder="1" applyAlignment="1">
      <alignment horizontal="center"/>
    </xf>
    <xf numFmtId="176" fontId="7" fillId="0" borderId="0" xfId="2" applyNumberFormat="1" applyFont="1"/>
    <xf numFmtId="0" fontId="10" fillId="0" borderId="0" xfId="2" applyFont="1" applyProtection="1">
      <protection locked="0"/>
    </xf>
    <xf numFmtId="4" fontId="7" fillId="0" borderId="0" xfId="2" applyNumberFormat="1" applyFont="1"/>
    <xf numFmtId="3" fontId="7" fillId="0" borderId="7" xfId="2" applyNumberFormat="1" applyFont="1" applyBorder="1"/>
    <xf numFmtId="0" fontId="7" fillId="0" borderId="5" xfId="2" applyFont="1" applyBorder="1"/>
    <xf numFmtId="0" fontId="7" fillId="0" borderId="6" xfId="2" applyFont="1" applyBorder="1"/>
    <xf numFmtId="0" fontId="7" fillId="0" borderId="7" xfId="2" applyFont="1" applyBorder="1"/>
    <xf numFmtId="3" fontId="7" fillId="0" borderId="5" xfId="2" applyNumberFormat="1" applyFont="1" applyBorder="1"/>
    <xf numFmtId="3" fontId="7" fillId="0" borderId="0" xfId="2" applyNumberFormat="1" applyFont="1" applyAlignment="1">
      <alignment horizontal="right"/>
    </xf>
    <xf numFmtId="3" fontId="7" fillId="0" borderId="0" xfId="2" applyNumberFormat="1" applyFont="1"/>
    <xf numFmtId="0" fontId="7" fillId="0" borderId="9" xfId="2" applyFont="1" applyBorder="1" applyAlignment="1">
      <alignment horizontal="center"/>
    </xf>
    <xf numFmtId="3" fontId="7" fillId="0" borderId="13" xfId="2" applyNumberFormat="1" applyFont="1" applyBorder="1"/>
    <xf numFmtId="0" fontId="7" fillId="0" borderId="14" xfId="2" applyFont="1" applyBorder="1" applyAlignment="1">
      <alignment horizontal="center"/>
    </xf>
    <xf numFmtId="177" fontId="7" fillId="0" borderId="0" xfId="2" applyNumberFormat="1" applyFont="1"/>
    <xf numFmtId="38" fontId="7" fillId="0" borderId="0" xfId="1" applyFont="1" applyFill="1" applyAlignment="1"/>
    <xf numFmtId="3" fontId="7" fillId="0" borderId="5" xfId="2" applyNumberFormat="1" applyFont="1" applyBorder="1" applyAlignment="1">
      <alignment horizontal="right"/>
    </xf>
    <xf numFmtId="3" fontId="7" fillId="0" borderId="7" xfId="2" applyNumberFormat="1" applyFont="1" applyBorder="1" applyAlignment="1">
      <alignment horizontal="right"/>
    </xf>
    <xf numFmtId="177" fontId="7" fillId="0" borderId="6" xfId="2" applyNumberFormat="1" applyFont="1" applyBorder="1" applyAlignment="1">
      <alignment horizontal="right"/>
    </xf>
    <xf numFmtId="178" fontId="7" fillId="0" borderId="7" xfId="2" applyNumberFormat="1" applyFont="1" applyBorder="1"/>
    <xf numFmtId="179" fontId="7" fillId="0" borderId="0" xfId="2" applyNumberFormat="1" applyFont="1"/>
    <xf numFmtId="38" fontId="7" fillId="0" borderId="0" xfId="1" applyFont="1" applyFill="1" applyBorder="1" applyAlignment="1"/>
    <xf numFmtId="0" fontId="7" fillId="0" borderId="6" xfId="2" applyFont="1" applyBorder="1" applyAlignment="1">
      <alignment horizontal="left"/>
    </xf>
    <xf numFmtId="0" fontId="7" fillId="0" borderId="0" xfId="2" applyFont="1" applyAlignment="1">
      <alignment horizontal="center"/>
    </xf>
    <xf numFmtId="0" fontId="3" fillId="0" borderId="0" xfId="0" applyFont="1" applyAlignment="1" applyProtection="1">
      <alignment horizontal="center"/>
      <protection locked="0"/>
    </xf>
    <xf numFmtId="0" fontId="3" fillId="0" borderId="0" xfId="3" applyProtection="1">
      <protection locked="0"/>
    </xf>
    <xf numFmtId="0" fontId="7" fillId="0" borderId="0" xfId="3" applyFont="1"/>
    <xf numFmtId="0" fontId="3" fillId="0" borderId="0" xfId="3"/>
    <xf numFmtId="0" fontId="7" fillId="0" borderId="17" xfId="3" applyFont="1" applyBorder="1" applyAlignment="1">
      <alignment horizontal="distributed" vertical="center"/>
    </xf>
    <xf numFmtId="0" fontId="7" fillId="0" borderId="19" xfId="3" applyFont="1" applyBorder="1" applyAlignment="1">
      <alignment vertical="center" textRotation="255"/>
    </xf>
    <xf numFmtId="3" fontId="7" fillId="0" borderId="22" xfId="3" applyNumberFormat="1" applyFont="1" applyBorder="1"/>
    <xf numFmtId="182" fontId="7" fillId="0" borderId="23" xfId="3" applyNumberFormat="1" applyFont="1" applyBorder="1"/>
    <xf numFmtId="0" fontId="3" fillId="0" borderId="24" xfId="3" applyBorder="1"/>
    <xf numFmtId="0" fontId="7" fillId="0" borderId="25" xfId="3" applyFont="1" applyBorder="1" applyAlignment="1">
      <alignment vertical="center" textRotation="255"/>
    </xf>
    <xf numFmtId="0" fontId="7" fillId="0" borderId="22" xfId="3" applyFont="1" applyBorder="1" applyAlignment="1">
      <alignment horizontal="distributed" vertical="center"/>
    </xf>
    <xf numFmtId="0" fontId="7" fillId="0" borderId="29" xfId="3" applyFont="1" applyBorder="1" applyAlignment="1">
      <alignment vertical="center" textRotation="255"/>
    </xf>
    <xf numFmtId="0" fontId="7" fillId="0" borderId="22" xfId="3" applyFont="1" applyBorder="1" applyAlignment="1">
      <alignment horizontal="distributed" vertical="center" wrapText="1"/>
    </xf>
    <xf numFmtId="3" fontId="7" fillId="0" borderId="7" xfId="3" applyNumberFormat="1" applyFont="1" applyBorder="1"/>
    <xf numFmtId="182" fontId="7" fillId="0" borderId="6" xfId="3" applyNumberFormat="1" applyFont="1" applyBorder="1"/>
    <xf numFmtId="0" fontId="3" fillId="0" borderId="8" xfId="3" applyBorder="1"/>
    <xf numFmtId="0" fontId="7" fillId="0" borderId="0" xfId="3" applyFont="1" applyAlignment="1">
      <alignment vertical="center"/>
    </xf>
    <xf numFmtId="3" fontId="7" fillId="0" borderId="0" xfId="3" applyNumberFormat="1" applyFont="1" applyAlignment="1">
      <alignment vertical="center"/>
    </xf>
    <xf numFmtId="176" fontId="7" fillId="0" borderId="17" xfId="3" applyNumberFormat="1" applyFont="1" applyBorder="1"/>
    <xf numFmtId="0" fontId="7" fillId="0" borderId="30" xfId="3" applyFont="1" applyBorder="1" applyAlignment="1">
      <alignment horizontal="left"/>
    </xf>
    <xf numFmtId="176" fontId="7" fillId="0" borderId="30" xfId="3" applyNumberFormat="1" applyFont="1" applyBorder="1" applyAlignment="1">
      <alignment vertical="center"/>
    </xf>
    <xf numFmtId="0" fontId="3" fillId="0" borderId="31" xfId="3" applyBorder="1" applyAlignment="1">
      <alignment vertical="center"/>
    </xf>
    <xf numFmtId="0" fontId="7" fillId="0" borderId="7" xfId="3" applyFont="1" applyBorder="1"/>
    <xf numFmtId="176" fontId="7" fillId="0" borderId="6" xfId="3" applyNumberFormat="1" applyFont="1" applyBorder="1" applyAlignment="1">
      <alignment horizontal="left"/>
    </xf>
    <xf numFmtId="0" fontId="7" fillId="0" borderId="6" xfId="3" applyFont="1" applyBorder="1" applyAlignment="1">
      <alignment vertical="center"/>
    </xf>
    <xf numFmtId="0" fontId="7" fillId="0" borderId="8" xfId="3" applyFont="1" applyBorder="1" applyAlignment="1">
      <alignment vertical="center"/>
    </xf>
    <xf numFmtId="0" fontId="11" fillId="0" borderId="0" xfId="4" applyFont="1"/>
    <xf numFmtId="0" fontId="13" fillId="0" borderId="0" xfId="4" applyFont="1" applyProtection="1">
      <protection locked="0"/>
    </xf>
    <xf numFmtId="0" fontId="3" fillId="0" borderId="0" xfId="5" applyProtection="1">
      <protection locked="0"/>
    </xf>
    <xf numFmtId="0" fontId="5" fillId="0" borderId="0" xfId="5" applyFont="1" applyAlignment="1">
      <alignment horizontal="center"/>
    </xf>
    <xf numFmtId="0" fontId="7" fillId="0" borderId="1" xfId="5" applyFont="1" applyBorder="1" applyAlignment="1">
      <alignment horizontal="center"/>
    </xf>
    <xf numFmtId="0" fontId="7" fillId="0" borderId="8" xfId="5" applyFont="1" applyBorder="1" applyAlignment="1">
      <alignment horizontal="center"/>
    </xf>
    <xf numFmtId="0" fontId="7" fillId="0" borderId="0" xfId="5" applyFont="1"/>
    <xf numFmtId="0" fontId="7" fillId="0" borderId="39" xfId="5" applyFont="1" applyBorder="1"/>
    <xf numFmtId="0" fontId="7" fillId="0" borderId="17" xfId="5" applyFont="1" applyBorder="1" applyAlignment="1">
      <alignment vertical="center"/>
    </xf>
    <xf numFmtId="0" fontId="7" fillId="0" borderId="30" xfId="5" applyFont="1" applyBorder="1" applyAlignment="1">
      <alignment vertical="center"/>
    </xf>
    <xf numFmtId="0" fontId="3" fillId="0" borderId="45" xfId="0" applyFont="1" applyBorder="1" applyAlignment="1" applyProtection="1">
      <alignment horizontal="distributed" vertical="center"/>
      <protection locked="0"/>
    </xf>
    <xf numFmtId="0" fontId="7" fillId="0" borderId="56" xfId="5" applyFont="1" applyBorder="1" applyAlignment="1">
      <alignment vertical="center"/>
    </xf>
    <xf numFmtId="0" fontId="7" fillId="0" borderId="22" xfId="5" applyFont="1" applyBorder="1" applyAlignment="1">
      <alignment vertical="center"/>
    </xf>
    <xf numFmtId="0" fontId="7" fillId="0" borderId="23" xfId="5" applyFont="1" applyBorder="1" applyAlignment="1">
      <alignment vertical="center"/>
    </xf>
    <xf numFmtId="183" fontId="7" fillId="0" borderId="22" xfId="5" applyNumberFormat="1" applyFont="1" applyBorder="1" applyAlignment="1">
      <alignment horizontal="center" shrinkToFit="1"/>
    </xf>
    <xf numFmtId="3" fontId="7" fillId="0" borderId="58" xfId="5" applyNumberFormat="1" applyFont="1" applyBorder="1"/>
    <xf numFmtId="3" fontId="7" fillId="0" borderId="42" xfId="5" applyNumberFormat="1" applyFont="1" applyBorder="1"/>
    <xf numFmtId="0" fontId="7" fillId="0" borderId="59" xfId="5" applyFont="1" applyBorder="1" applyAlignment="1">
      <alignment horizontal="center"/>
    </xf>
    <xf numFmtId="0" fontId="7" fillId="0" borderId="23" xfId="5" applyFont="1" applyBorder="1" applyAlignment="1">
      <alignment horizontal="center" vertical="center"/>
    </xf>
    <xf numFmtId="184" fontId="7" fillId="0" borderId="22" xfId="5" applyNumberFormat="1" applyFont="1" applyBorder="1"/>
    <xf numFmtId="0" fontId="7" fillId="0" borderId="59" xfId="5" applyFont="1" applyBorder="1"/>
    <xf numFmtId="185" fontId="7" fillId="0" borderId="22" xfId="5" applyNumberFormat="1" applyFont="1" applyBorder="1"/>
    <xf numFmtId="186" fontId="7" fillId="0" borderId="22" xfId="5" applyNumberFormat="1" applyFont="1" applyBorder="1"/>
    <xf numFmtId="187" fontId="7" fillId="0" borderId="22" xfId="5" applyNumberFormat="1" applyFont="1" applyBorder="1"/>
    <xf numFmtId="0" fontId="7" fillId="0" borderId="49" xfId="5" applyFont="1" applyBorder="1"/>
    <xf numFmtId="0" fontId="7" fillId="0" borderId="6" xfId="5" applyFont="1" applyBorder="1" applyAlignment="1">
      <alignment horizontal="center" vertical="center"/>
    </xf>
    <xf numFmtId="185" fontId="7" fillId="0" borderId="7" xfId="5" applyNumberFormat="1" applyFont="1" applyBorder="1"/>
    <xf numFmtId="3" fontId="7" fillId="0" borderId="44" xfId="5" applyNumberFormat="1" applyFont="1" applyBorder="1"/>
    <xf numFmtId="3" fontId="7" fillId="0" borderId="0" xfId="5" applyNumberFormat="1" applyFont="1"/>
    <xf numFmtId="0" fontId="7" fillId="0" borderId="45" xfId="5" applyFont="1" applyBorder="1" applyAlignment="1">
      <alignment horizontal="distributed" vertical="center"/>
    </xf>
    <xf numFmtId="0" fontId="7" fillId="0" borderId="0" xfId="5" applyFont="1" applyAlignment="1">
      <alignment vertical="center"/>
    </xf>
    <xf numFmtId="38" fontId="7" fillId="0" borderId="22" xfId="1" applyFont="1" applyFill="1" applyBorder="1" applyAlignment="1"/>
    <xf numFmtId="3" fontId="7" fillId="0" borderId="22" xfId="5" applyNumberFormat="1" applyFont="1" applyBorder="1"/>
    <xf numFmtId="3" fontId="7" fillId="0" borderId="42" xfId="5" applyNumberFormat="1" applyFont="1" applyBorder="1" applyAlignment="1">
      <alignment horizontal="center"/>
    </xf>
    <xf numFmtId="0" fontId="3" fillId="0" borderId="65" xfId="0" applyFont="1" applyBorder="1" applyProtection="1">
      <alignment vertical="center"/>
      <protection locked="0"/>
    </xf>
    <xf numFmtId="38" fontId="3" fillId="0" borderId="22" xfId="1" applyFont="1" applyFill="1" applyBorder="1" applyAlignment="1"/>
    <xf numFmtId="3" fontId="7" fillId="0" borderId="70" xfId="5" applyNumberFormat="1" applyFont="1" applyBorder="1"/>
    <xf numFmtId="0" fontId="3" fillId="0" borderId="70" xfId="5" applyBorder="1" applyAlignment="1" applyProtection="1">
      <alignment horizontal="center"/>
      <protection locked="0"/>
    </xf>
    <xf numFmtId="3" fontId="7" fillId="0" borderId="71" xfId="5" applyNumberFormat="1" applyFont="1" applyBorder="1"/>
    <xf numFmtId="0" fontId="14" fillId="0" borderId="0" xfId="0" applyFont="1">
      <alignment vertical="center"/>
    </xf>
    <xf numFmtId="0" fontId="14" fillId="0" borderId="0" xfId="0" applyFont="1" applyAlignment="1">
      <alignment vertical="center" wrapText="1"/>
    </xf>
    <xf numFmtId="38" fontId="14" fillId="0" borderId="0" xfId="1" applyFont="1">
      <alignment vertical="center"/>
    </xf>
    <xf numFmtId="0" fontId="15" fillId="0" borderId="0" xfId="0" applyFont="1">
      <alignment vertical="center"/>
    </xf>
    <xf numFmtId="40" fontId="14" fillId="0" borderId="0" xfId="1" applyNumberFormat="1" applyFont="1">
      <alignment vertical="center"/>
    </xf>
    <xf numFmtId="0" fontId="14" fillId="0" borderId="0" xfId="0" applyFont="1" applyAlignment="1">
      <alignment horizontal="center" vertical="center"/>
    </xf>
    <xf numFmtId="0" fontId="14" fillId="0" borderId="65" xfId="0" applyFont="1" applyBorder="1" applyAlignment="1">
      <alignment horizontal="center" vertical="center" wrapText="1"/>
    </xf>
    <xf numFmtId="0" fontId="14" fillId="0" borderId="65" xfId="0" applyFont="1" applyBorder="1" applyAlignment="1">
      <alignment vertical="center" wrapText="1"/>
    </xf>
    <xf numFmtId="40" fontId="14" fillId="0" borderId="65" xfId="1" applyNumberFormat="1" applyFont="1" applyBorder="1" applyAlignment="1">
      <alignment horizontal="center" vertical="center" wrapText="1"/>
    </xf>
    <xf numFmtId="38" fontId="14" fillId="0" borderId="65" xfId="1" applyFont="1" applyBorder="1" applyAlignment="1">
      <alignment horizontal="center" vertical="center" wrapText="1"/>
    </xf>
    <xf numFmtId="0" fontId="14" fillId="0" borderId="65" xfId="0" applyFont="1" applyBorder="1" applyAlignment="1">
      <alignment horizontal="center" vertical="center"/>
    </xf>
    <xf numFmtId="38" fontId="14" fillId="0" borderId="65" xfId="1" applyFont="1" applyBorder="1">
      <alignment vertical="center"/>
    </xf>
    <xf numFmtId="182" fontId="14" fillId="0" borderId="65" xfId="0" applyNumberFormat="1" applyFont="1" applyBorder="1">
      <alignment vertical="center"/>
    </xf>
    <xf numFmtId="0" fontId="14" fillId="0" borderId="65" xfId="0" applyFont="1" applyBorder="1">
      <alignment vertical="center"/>
    </xf>
    <xf numFmtId="40" fontId="14" fillId="0" borderId="65" xfId="1" applyNumberFormat="1" applyFont="1" applyBorder="1">
      <alignment vertical="center"/>
    </xf>
    <xf numFmtId="0" fontId="14" fillId="2" borderId="65" xfId="0" applyFont="1" applyFill="1" applyBorder="1" applyProtection="1">
      <alignment vertical="center"/>
      <protection locked="0"/>
    </xf>
    <xf numFmtId="40" fontId="14" fillId="2" borderId="65" xfId="1" applyNumberFormat="1" applyFont="1" applyFill="1" applyBorder="1" applyProtection="1">
      <alignment vertical="center"/>
      <protection locked="0"/>
    </xf>
    <xf numFmtId="38" fontId="14" fillId="2" borderId="65" xfId="1" applyFont="1" applyFill="1" applyBorder="1" applyProtection="1">
      <alignment vertical="center"/>
      <protection locked="0"/>
    </xf>
    <xf numFmtId="188" fontId="14" fillId="0" borderId="65" xfId="0" applyNumberFormat="1" applyFont="1" applyBorder="1">
      <alignment vertical="center"/>
    </xf>
    <xf numFmtId="188" fontId="14" fillId="0" borderId="65" xfId="1" applyNumberFormat="1" applyFont="1" applyBorder="1">
      <alignment vertical="center"/>
    </xf>
    <xf numFmtId="38" fontId="14" fillId="0" borderId="65" xfId="0" applyNumberFormat="1" applyFont="1" applyBorder="1">
      <alignment vertical="center"/>
    </xf>
    <xf numFmtId="187" fontId="7" fillId="0" borderId="22" xfId="5" applyNumberFormat="1" applyFont="1" applyBorder="1" applyAlignment="1">
      <alignment horizontal="right"/>
    </xf>
    <xf numFmtId="183" fontId="7" fillId="0" borderId="22" xfId="5" applyNumberFormat="1" applyFont="1" applyBorder="1" applyAlignment="1">
      <alignment horizontal="right" shrinkToFit="1"/>
    </xf>
    <xf numFmtId="38" fontId="14" fillId="0" borderId="65" xfId="1" applyFont="1" applyFill="1" applyBorder="1">
      <alignment vertical="center"/>
    </xf>
    <xf numFmtId="38" fontId="14" fillId="0" borderId="65" xfId="1" applyFont="1" applyFill="1" applyBorder="1" applyAlignment="1">
      <alignment horizontal="center" vertical="center"/>
    </xf>
    <xf numFmtId="0" fontId="14" fillId="0" borderId="0" xfId="0" applyFont="1" applyAlignment="1">
      <alignment horizontal="left" vertical="center"/>
    </xf>
    <xf numFmtId="38" fontId="14" fillId="0" borderId="0" xfId="1" applyFont="1" applyFill="1" applyAlignment="1">
      <alignment horizontal="center" vertical="center"/>
    </xf>
    <xf numFmtId="38" fontId="14" fillId="0" borderId="0" xfId="1" applyFont="1" applyFill="1" applyAlignment="1">
      <alignment horizontal="left" vertical="center"/>
    </xf>
    <xf numFmtId="190" fontId="14" fillId="0" borderId="0" xfId="1" applyNumberFormat="1" applyFont="1">
      <alignment vertical="center"/>
    </xf>
    <xf numFmtId="190" fontId="14" fillId="0" borderId="65" xfId="1" applyNumberFormat="1" applyFont="1" applyBorder="1">
      <alignment vertical="center"/>
    </xf>
    <xf numFmtId="0" fontId="14" fillId="3" borderId="65" xfId="0" applyFont="1" applyFill="1" applyBorder="1">
      <alignment vertical="center"/>
    </xf>
    <xf numFmtId="0" fontId="14" fillId="3" borderId="65" xfId="0" applyFont="1" applyFill="1" applyBorder="1" applyAlignment="1">
      <alignment horizontal="center" vertical="center"/>
    </xf>
    <xf numFmtId="38" fontId="14" fillId="3" borderId="65" xfId="1" applyFont="1" applyFill="1" applyBorder="1" applyAlignment="1">
      <alignment horizontal="center" vertical="center"/>
    </xf>
    <xf numFmtId="190" fontId="14" fillId="3" borderId="65" xfId="1" applyNumberFormat="1" applyFont="1" applyFill="1" applyBorder="1">
      <alignment vertical="center"/>
    </xf>
    <xf numFmtId="38" fontId="14" fillId="3" borderId="65" xfId="1" applyFont="1" applyFill="1" applyBorder="1">
      <alignment vertical="center"/>
    </xf>
    <xf numFmtId="38" fontId="14" fillId="3" borderId="65" xfId="0" applyNumberFormat="1" applyFont="1" applyFill="1" applyBorder="1">
      <alignment vertical="center"/>
    </xf>
    <xf numFmtId="3" fontId="7" fillId="0" borderId="42" xfId="5" applyNumberFormat="1" applyFont="1" applyBorder="1" applyAlignment="1">
      <alignment horizontal="right"/>
    </xf>
    <xf numFmtId="0" fontId="14" fillId="0" borderId="39" xfId="0" applyFont="1" applyBorder="1">
      <alignment vertical="center"/>
    </xf>
    <xf numFmtId="0" fontId="14" fillId="0" borderId="31" xfId="0" applyFont="1" applyBorder="1" applyAlignment="1">
      <alignment horizontal="center" vertical="center"/>
    </xf>
    <xf numFmtId="189" fontId="14" fillId="0" borderId="59" xfId="0" applyNumberFormat="1" applyFont="1" applyBorder="1">
      <alignment vertical="center"/>
    </xf>
    <xf numFmtId="189" fontId="14" fillId="0" borderId="82" xfId="0" applyNumberFormat="1" applyFont="1" applyBorder="1" applyAlignment="1">
      <alignment horizontal="center" vertical="center"/>
    </xf>
    <xf numFmtId="189" fontId="14" fillId="0" borderId="49" xfId="0" applyNumberFormat="1" applyFont="1" applyBorder="1">
      <alignment vertical="center"/>
    </xf>
    <xf numFmtId="189" fontId="14" fillId="0" borderId="52" xfId="0" applyNumberFormat="1" applyFont="1" applyBorder="1" applyAlignment="1">
      <alignment horizontal="center" vertical="center"/>
    </xf>
    <xf numFmtId="38" fontId="14" fillId="2" borderId="65" xfId="1" applyFont="1" applyFill="1" applyBorder="1" applyAlignment="1" applyProtection="1">
      <alignment horizontal="center" vertical="center"/>
      <protection locked="0"/>
    </xf>
    <xf numFmtId="188" fontId="14" fillId="2" borderId="65" xfId="1" applyNumberFormat="1" applyFont="1" applyFill="1" applyBorder="1" applyProtection="1">
      <alignment vertical="center"/>
      <protection locked="0"/>
    </xf>
    <xf numFmtId="0" fontId="16" fillId="0" borderId="0" xfId="0" applyFont="1">
      <alignment vertical="center"/>
    </xf>
    <xf numFmtId="3" fontId="7" fillId="0" borderId="73" xfId="5" applyNumberFormat="1" applyFont="1" applyBorder="1" applyAlignment="1">
      <alignment horizontal="right"/>
    </xf>
    <xf numFmtId="3" fontId="7" fillId="0" borderId="76" xfId="5" applyNumberFormat="1" applyFont="1" applyBorder="1" applyAlignment="1">
      <alignment horizontal="right"/>
    </xf>
    <xf numFmtId="3" fontId="7" fillId="0" borderId="80" xfId="5" applyNumberFormat="1" applyFont="1" applyBorder="1" applyAlignment="1">
      <alignment horizontal="right"/>
    </xf>
    <xf numFmtId="3" fontId="7" fillId="0" borderId="81" xfId="5" applyNumberFormat="1" applyFont="1" applyBorder="1" applyAlignment="1">
      <alignment horizontal="right"/>
    </xf>
    <xf numFmtId="38" fontId="14" fillId="0" borderId="65" xfId="1" applyFont="1" applyBorder="1" applyAlignment="1">
      <alignment vertical="center" wrapText="1"/>
    </xf>
    <xf numFmtId="3" fontId="14" fillId="0" borderId="0" xfId="0" applyNumberFormat="1" applyFont="1">
      <alignment vertical="center"/>
    </xf>
    <xf numFmtId="192" fontId="0" fillId="0" borderId="0" xfId="0" applyNumberFormat="1">
      <alignment vertical="center"/>
    </xf>
    <xf numFmtId="14" fontId="14" fillId="0" borderId="0" xfId="0" applyNumberFormat="1" applyFont="1">
      <alignment vertical="center"/>
    </xf>
    <xf numFmtId="0" fontId="17" fillId="0" borderId="0" xfId="0" applyFont="1">
      <alignment vertical="center"/>
    </xf>
    <xf numFmtId="0" fontId="17" fillId="0" borderId="0" xfId="0" applyFont="1" applyAlignment="1">
      <alignment vertical="center" wrapText="1"/>
    </xf>
    <xf numFmtId="0" fontId="18" fillId="0" borderId="0" xfId="0" applyFont="1" applyAlignment="1">
      <alignment vertical="center" wrapText="1"/>
    </xf>
    <xf numFmtId="0" fontId="14" fillId="0" borderId="83" xfId="0" applyFont="1" applyBorder="1" applyAlignment="1">
      <alignment horizontal="left" vertical="center"/>
    </xf>
    <xf numFmtId="0" fontId="14" fillId="0" borderId="84" xfId="0" applyFont="1" applyBorder="1">
      <alignment vertical="center"/>
    </xf>
    <xf numFmtId="0" fontId="17" fillId="0" borderId="65" xfId="0" applyFont="1" applyBorder="1" applyAlignment="1">
      <alignment vertical="center" wrapText="1"/>
    </xf>
    <xf numFmtId="0" fontId="19" fillId="0" borderId="65" xfId="0" applyFont="1" applyBorder="1" applyAlignment="1">
      <alignment vertical="center" wrapText="1"/>
    </xf>
    <xf numFmtId="0" fontId="17" fillId="0" borderId="65" xfId="0" applyFont="1" applyBorder="1">
      <alignment vertical="center"/>
    </xf>
    <xf numFmtId="0" fontId="18" fillId="0" borderId="65" xfId="0" applyFont="1" applyBorder="1" applyAlignment="1">
      <alignment vertical="center" wrapText="1"/>
    </xf>
    <xf numFmtId="38" fontId="17" fillId="0" borderId="65" xfId="1" applyFont="1" applyFill="1" applyBorder="1" applyAlignment="1">
      <alignment vertical="center" wrapText="1"/>
    </xf>
    <xf numFmtId="191" fontId="17" fillId="0" borderId="65" xfId="0" applyNumberFormat="1" applyFont="1" applyBorder="1" applyAlignment="1">
      <alignment vertical="center" wrapText="1"/>
    </xf>
    <xf numFmtId="0" fontId="21" fillId="0" borderId="0" xfId="7" applyFont="1">
      <alignment vertical="center"/>
    </xf>
    <xf numFmtId="0" fontId="20" fillId="0" borderId="84" xfId="7" applyFill="1" applyBorder="1" applyAlignment="1">
      <alignment vertical="center" wrapText="1"/>
    </xf>
    <xf numFmtId="0" fontId="17" fillId="0" borderId="64" xfId="0" applyFont="1" applyBorder="1" applyAlignment="1">
      <alignment vertical="center" wrapText="1"/>
    </xf>
    <xf numFmtId="0" fontId="17" fillId="0" borderId="85" xfId="0" applyFont="1" applyBorder="1" applyAlignment="1">
      <alignment vertical="center" wrapText="1"/>
    </xf>
    <xf numFmtId="0" fontId="17" fillId="0" borderId="67" xfId="0" applyFont="1" applyBorder="1" applyAlignment="1">
      <alignment vertical="center" wrapText="1"/>
    </xf>
    <xf numFmtId="0" fontId="17" fillId="0" borderId="84" xfId="0" applyFont="1" applyBorder="1" applyAlignment="1">
      <alignment vertical="center" wrapText="1"/>
    </xf>
    <xf numFmtId="0" fontId="17" fillId="0" borderId="84" xfId="0" applyFont="1" applyBorder="1" applyAlignment="1">
      <alignment horizontal="left" vertical="center" wrapText="1" indent="1"/>
    </xf>
    <xf numFmtId="0" fontId="17" fillId="0" borderId="84" xfId="0" applyFont="1" applyBorder="1" applyAlignment="1">
      <alignment horizontal="left" vertical="center" wrapText="1"/>
    </xf>
    <xf numFmtId="0" fontId="22" fillId="0" borderId="0" xfId="0" applyFont="1">
      <alignment vertical="center"/>
    </xf>
    <xf numFmtId="0" fontId="3" fillId="0" borderId="0" xfId="4"/>
    <xf numFmtId="0" fontId="3" fillId="0" borderId="0" xfId="4" applyAlignment="1">
      <alignment horizontal="right"/>
    </xf>
    <xf numFmtId="0" fontId="3" fillId="0" borderId="33" xfId="4" applyBorder="1" applyAlignment="1">
      <alignment horizontal="distributed" vertical="center"/>
    </xf>
    <xf numFmtId="0" fontId="3" fillId="0" borderId="5" xfId="4" applyBorder="1" applyAlignment="1">
      <alignment horizontal="distributed" vertical="center"/>
    </xf>
    <xf numFmtId="0" fontId="3" fillId="0" borderId="7" xfId="4" applyBorder="1" applyAlignment="1">
      <alignment horizontal="distributed" vertical="center"/>
    </xf>
    <xf numFmtId="0" fontId="3" fillId="0" borderId="37" xfId="4" applyBorder="1" applyAlignment="1">
      <alignment horizontal="distributed" vertical="center"/>
    </xf>
    <xf numFmtId="0" fontId="3" fillId="0" borderId="15" xfId="4" applyBorder="1" applyAlignment="1">
      <alignment horizontal="distributed" vertical="center"/>
    </xf>
    <xf numFmtId="0" fontId="3" fillId="0" borderId="40" xfId="4" applyBorder="1" applyAlignment="1">
      <alignment horizontal="distributed" vertical="center"/>
    </xf>
    <xf numFmtId="3" fontId="3" fillId="0" borderId="41" xfId="4" applyNumberFormat="1" applyBorder="1"/>
    <xf numFmtId="3" fontId="3" fillId="0" borderId="22" xfId="4" applyNumberFormat="1" applyBorder="1"/>
    <xf numFmtId="3" fontId="3" fillId="0" borderId="42" xfId="4" applyNumberFormat="1" applyBorder="1"/>
    <xf numFmtId="0" fontId="3" fillId="0" borderId="43" xfId="4" applyBorder="1" applyAlignment="1">
      <alignment horizontal="distributed" vertical="center"/>
    </xf>
    <xf numFmtId="3" fontId="3" fillId="0" borderId="5" xfId="4" applyNumberFormat="1" applyBorder="1"/>
    <xf numFmtId="3" fontId="3" fillId="0" borderId="7" xfId="4" applyNumberFormat="1" applyBorder="1"/>
    <xf numFmtId="3" fontId="3" fillId="0" borderId="44" xfId="4" applyNumberFormat="1" applyBorder="1"/>
    <xf numFmtId="0" fontId="3" fillId="0" borderId="31" xfId="4" applyBorder="1"/>
    <xf numFmtId="0" fontId="3" fillId="0" borderId="48" xfId="4" applyBorder="1"/>
    <xf numFmtId="0" fontId="3" fillId="0" borderId="52" xfId="4" applyBorder="1"/>
    <xf numFmtId="0" fontId="3" fillId="0" borderId="0" xfId="4" applyAlignment="1">
      <alignment horizontal="distributed" vertical="center"/>
    </xf>
    <xf numFmtId="4" fontId="3" fillId="0" borderId="0" xfId="4" applyNumberFormat="1" applyAlignment="1">
      <alignment vertical="center"/>
    </xf>
    <xf numFmtId="0" fontId="3" fillId="0" borderId="0" xfId="4" applyAlignment="1">
      <alignment vertical="center"/>
    </xf>
    <xf numFmtId="38" fontId="21" fillId="4" borderId="65" xfId="7" applyNumberFormat="1" applyFont="1" applyFill="1" applyBorder="1">
      <alignment vertical="center"/>
    </xf>
    <xf numFmtId="40" fontId="21" fillId="0" borderId="65" xfId="7" applyNumberFormat="1" applyFont="1" applyBorder="1">
      <alignment vertical="center"/>
    </xf>
    <xf numFmtId="0" fontId="14" fillId="2" borderId="65" xfId="0" applyFont="1" applyFill="1" applyBorder="1" applyAlignment="1" applyProtection="1">
      <alignment vertical="center" shrinkToFit="1"/>
      <protection locked="0"/>
    </xf>
    <xf numFmtId="38" fontId="21" fillId="0" borderId="65" xfId="7" applyNumberFormat="1" applyFont="1" applyBorder="1">
      <alignment vertical="center"/>
    </xf>
    <xf numFmtId="189" fontId="14" fillId="2" borderId="65" xfId="0" applyNumberFormat="1" applyFont="1" applyFill="1" applyBorder="1" applyProtection="1">
      <alignment vertical="center"/>
      <protection locked="0"/>
    </xf>
    <xf numFmtId="0" fontId="14" fillId="0" borderId="65" xfId="0" applyFont="1" applyBorder="1">
      <alignment vertical="center"/>
      <extLst>
        <ext xmlns:xfpb="http://schemas.microsoft.com/office/spreadsheetml/2022/featurepropertybag" uri="{C7286773-470A-42A8-94C5-96B5CB345126}">
          <xfpb:xfComplement i="0"/>
        </ext>
      </extLst>
    </xf>
    <xf numFmtId="191" fontId="14" fillId="0" borderId="0" xfId="6" applyNumberFormat="1" applyFont="1">
      <alignment vertical="center"/>
    </xf>
    <xf numFmtId="182" fontId="14" fillId="0" borderId="0" xfId="0" applyNumberFormat="1" applyFont="1">
      <alignment vertical="center"/>
    </xf>
    <xf numFmtId="3" fontId="3" fillId="0" borderId="0" xfId="4" applyNumberFormat="1"/>
    <xf numFmtId="4" fontId="3" fillId="0" borderId="17" xfId="4" applyNumberFormat="1" applyBorder="1" applyAlignment="1">
      <alignment horizontal="right"/>
    </xf>
    <xf numFmtId="4" fontId="3" fillId="0" borderId="32" xfId="4" applyNumberFormat="1" applyBorder="1" applyAlignment="1">
      <alignment horizontal="right"/>
    </xf>
    <xf numFmtId="4" fontId="3" fillId="0" borderId="51" xfId="4" applyNumberFormat="1" applyBorder="1" applyAlignment="1">
      <alignment horizontal="right"/>
    </xf>
    <xf numFmtId="3" fontId="3" fillId="0" borderId="39" xfId="4" applyNumberFormat="1" applyBorder="1"/>
    <xf numFmtId="3" fontId="3" fillId="0" borderId="17" xfId="4" applyNumberFormat="1" applyBorder="1"/>
    <xf numFmtId="3" fontId="3" fillId="0" borderId="35" xfId="4" applyNumberFormat="1" applyBorder="1"/>
    <xf numFmtId="38" fontId="14" fillId="0" borderId="0" xfId="0" applyNumberFormat="1" applyFont="1">
      <alignment vertical="center"/>
    </xf>
    <xf numFmtId="0" fontId="14" fillId="0" borderId="64" xfId="0" applyFont="1" applyBorder="1">
      <alignment vertical="center"/>
    </xf>
    <xf numFmtId="0" fontId="14" fillId="0" borderId="87" xfId="0" applyFont="1" applyBorder="1" applyAlignment="1">
      <alignment horizontal="center" vertical="center"/>
    </xf>
    <xf numFmtId="0" fontId="14" fillId="0" borderId="88" xfId="0" applyFont="1" applyBorder="1">
      <alignment vertical="center"/>
    </xf>
    <xf numFmtId="0" fontId="14" fillId="0" borderId="83" xfId="0" applyFont="1" applyBorder="1">
      <alignment vertical="center"/>
    </xf>
    <xf numFmtId="0" fontId="14" fillId="0" borderId="86" xfId="0" applyFont="1" applyBorder="1">
      <alignment vertical="center"/>
    </xf>
    <xf numFmtId="0" fontId="14" fillId="0" borderId="67" xfId="0" applyFont="1" applyBorder="1">
      <alignment vertical="center"/>
    </xf>
    <xf numFmtId="0" fontId="14" fillId="0" borderId="89" xfId="0" applyFont="1" applyBorder="1" applyAlignment="1">
      <alignment horizontal="center" vertical="center"/>
    </xf>
    <xf numFmtId="0" fontId="14" fillId="0" borderId="90" xfId="0" applyFont="1" applyBorder="1">
      <alignment vertical="center"/>
    </xf>
    <xf numFmtId="3" fontId="14" fillId="0" borderId="65" xfId="0" applyNumberFormat="1" applyFont="1" applyBorder="1">
      <alignment vertical="center"/>
    </xf>
    <xf numFmtId="0" fontId="14" fillId="0" borderId="65" xfId="0" applyFont="1" applyBorder="1" applyAlignment="1">
      <alignment horizontal="left" vertical="center" indent="1"/>
    </xf>
    <xf numFmtId="0" fontId="14" fillId="0" borderId="87" xfId="0" applyFont="1" applyBorder="1">
      <alignment vertical="center"/>
    </xf>
    <xf numFmtId="0" fontId="14" fillId="0" borderId="91" xfId="0" applyFont="1" applyBorder="1">
      <alignment vertical="center"/>
    </xf>
    <xf numFmtId="0" fontId="14" fillId="0" borderId="88" xfId="0" applyFont="1" applyBorder="1" applyAlignment="1">
      <alignment horizontal="center" vertical="center"/>
    </xf>
    <xf numFmtId="0" fontId="14" fillId="0" borderId="92" xfId="0" applyFont="1" applyBorder="1">
      <alignment vertical="center"/>
    </xf>
    <xf numFmtId="0" fontId="14" fillId="0" borderId="90" xfId="0" applyFont="1" applyBorder="1" applyAlignment="1">
      <alignment horizontal="center" vertical="center"/>
    </xf>
    <xf numFmtId="38" fontId="14" fillId="0" borderId="84" xfId="0" applyNumberFormat="1" applyFont="1" applyBorder="1" applyAlignment="1">
      <alignment horizontal="right" vertical="center"/>
    </xf>
    <xf numFmtId="177" fontId="7" fillId="0" borderId="5" xfId="2" applyNumberFormat="1" applyFont="1" applyBorder="1"/>
    <xf numFmtId="178" fontId="7" fillId="0" borderId="15" xfId="2" applyNumberFormat="1" applyFont="1" applyBorder="1" applyAlignment="1">
      <alignment horizontal="right"/>
    </xf>
    <xf numFmtId="0" fontId="3" fillId="0" borderId="65" xfId="0" applyFont="1" applyBorder="1">
      <alignment vertical="center"/>
    </xf>
    <xf numFmtId="3" fontId="24" fillId="0" borderId="0" xfId="0" applyNumberFormat="1" applyFont="1">
      <alignment vertical="center"/>
    </xf>
    <xf numFmtId="0" fontId="25" fillId="0" borderId="0" xfId="0" applyFont="1">
      <alignment vertical="center"/>
    </xf>
    <xf numFmtId="3" fontId="25" fillId="0" borderId="0" xfId="0" applyNumberFormat="1" applyFont="1">
      <alignment vertical="center"/>
    </xf>
    <xf numFmtId="38" fontId="25" fillId="0" borderId="0" xfId="0" applyNumberFormat="1" applyFont="1">
      <alignment vertical="center"/>
    </xf>
    <xf numFmtId="195" fontId="14" fillId="0" borderId="0" xfId="0" applyNumberFormat="1" applyFont="1">
      <alignment vertical="center"/>
    </xf>
    <xf numFmtId="188" fontId="14" fillId="0" borderId="0" xfId="1" applyNumberFormat="1" applyFont="1" applyFill="1">
      <alignment vertical="center"/>
    </xf>
    <xf numFmtId="0" fontId="14" fillId="0" borderId="0" xfId="0" applyFont="1" applyAlignment="1"/>
    <xf numFmtId="2" fontId="14" fillId="0" borderId="65" xfId="0" applyNumberFormat="1" applyFont="1" applyBorder="1">
      <alignment vertical="center"/>
    </xf>
    <xf numFmtId="194" fontId="14" fillId="0" borderId="65" xfId="0" applyNumberFormat="1" applyFont="1" applyBorder="1">
      <alignment vertical="center"/>
    </xf>
    <xf numFmtId="188" fontId="14" fillId="0" borderId="65" xfId="1" applyNumberFormat="1" applyFont="1" applyFill="1" applyBorder="1">
      <alignment vertical="center"/>
    </xf>
    <xf numFmtId="0" fontId="26" fillId="0" borderId="0" xfId="0" applyFont="1">
      <alignment vertical="center"/>
    </xf>
    <xf numFmtId="176" fontId="7" fillId="0" borderId="51" xfId="5" applyNumberFormat="1" applyFont="1" applyBorder="1"/>
    <xf numFmtId="0" fontId="3" fillId="0" borderId="0" xfId="0" applyFont="1" applyAlignment="1" applyProtection="1">
      <alignment horizontal="distributed" vertical="center"/>
      <protection locked="0"/>
    </xf>
    <xf numFmtId="0" fontId="12" fillId="0" borderId="0" xfId="0" applyFont="1" applyAlignment="1" applyProtection="1">
      <alignment horizontal="distributed" vertical="center"/>
      <protection locked="0"/>
    </xf>
    <xf numFmtId="0" fontId="3" fillId="0" borderId="0" xfId="0" applyFont="1" applyAlignment="1" applyProtection="1">
      <protection locked="0"/>
    </xf>
    <xf numFmtId="38" fontId="21" fillId="0" borderId="0" xfId="7" applyNumberFormat="1" applyFont="1" applyFill="1" applyBorder="1">
      <alignment vertical="center"/>
    </xf>
    <xf numFmtId="38" fontId="21" fillId="0" borderId="65" xfId="7" applyNumberFormat="1" applyFont="1" applyFill="1" applyBorder="1">
      <alignment vertical="center"/>
    </xf>
    <xf numFmtId="190" fontId="14" fillId="0" borderId="65" xfId="1" applyNumberFormat="1" applyFont="1" applyBorder="1" applyAlignment="1">
      <alignment vertical="center" wrapText="1"/>
    </xf>
    <xf numFmtId="189" fontId="14" fillId="0" borderId="65" xfId="0" applyNumberFormat="1" applyFont="1" applyBorder="1">
      <alignment vertical="center"/>
    </xf>
    <xf numFmtId="0" fontId="20" fillId="0" borderId="65" xfId="7" applyBorder="1" applyAlignment="1">
      <alignment vertical="center" wrapText="1"/>
    </xf>
    <xf numFmtId="40" fontId="17" fillId="0" borderId="65" xfId="1" applyNumberFormat="1" applyFont="1" applyFill="1" applyBorder="1" applyAlignment="1">
      <alignment vertical="center" wrapText="1"/>
    </xf>
    <xf numFmtId="0" fontId="17" fillId="2" borderId="65" xfId="0" applyFont="1" applyFill="1" applyBorder="1" applyAlignment="1" applyProtection="1">
      <alignment vertical="center" wrapText="1"/>
      <protection locked="0"/>
    </xf>
    <xf numFmtId="40" fontId="17" fillId="2" borderId="65" xfId="1" applyNumberFormat="1" applyFont="1" applyFill="1" applyBorder="1" applyAlignment="1" applyProtection="1">
      <alignment vertical="center" wrapText="1"/>
      <protection locked="0"/>
    </xf>
    <xf numFmtId="38" fontId="17" fillId="2" borderId="65" xfId="1" applyFont="1" applyFill="1" applyBorder="1" applyAlignment="1" applyProtection="1">
      <alignment vertical="center" wrapText="1"/>
      <protection locked="0"/>
    </xf>
    <xf numFmtId="0" fontId="17" fillId="0" borderId="65" xfId="0" applyFont="1" applyBorder="1" applyProtection="1">
      <alignment vertical="center"/>
      <protection locked="0"/>
      <extLst>
        <ext xmlns:xfpb="http://schemas.microsoft.com/office/spreadsheetml/2022/featurepropertybag" uri="{C7286773-470A-42A8-94C5-96B5CB345126}">
          <xfpb:xfComplement i="0"/>
        </ext>
      </extLst>
    </xf>
    <xf numFmtId="0" fontId="17" fillId="0" borderId="65" xfId="0" applyFont="1" applyBorder="1" applyAlignment="1" applyProtection="1">
      <alignment vertical="center" wrapText="1"/>
      <protection locked="0"/>
      <extLst>
        <ext xmlns:xfpb="http://schemas.microsoft.com/office/spreadsheetml/2022/featurepropertybag" uri="{C7286773-470A-42A8-94C5-96B5CB345126}">
          <xfpb:xfComplement i="0"/>
        </ext>
      </extLst>
    </xf>
    <xf numFmtId="38" fontId="14" fillId="2" borderId="65" xfId="1" applyFont="1" applyFill="1" applyBorder="1" applyAlignment="1" applyProtection="1">
      <alignment vertical="center" wrapText="1"/>
      <protection locked="0"/>
    </xf>
    <xf numFmtId="3" fontId="7" fillId="0" borderId="5" xfId="2" applyNumberFormat="1" applyFont="1" applyBorder="1" applyProtection="1">
      <protection locked="0"/>
    </xf>
    <xf numFmtId="0" fontId="28" fillId="0" borderId="0" xfId="8" applyNumberFormat="1" applyFont="1" applyProtection="1">
      <protection locked="0"/>
    </xf>
    <xf numFmtId="188" fontId="3" fillId="0" borderId="97" xfId="9" applyNumberFormat="1" applyFont="1" applyBorder="1" applyAlignment="1" applyProtection="1">
      <protection locked="0"/>
    </xf>
    <xf numFmtId="0" fontId="3" fillId="0" borderId="0" xfId="8" applyNumberFormat="1" applyProtection="1">
      <protection locked="0"/>
    </xf>
    <xf numFmtId="3" fontId="3" fillId="0" borderId="96" xfId="8" applyNumberFormat="1" applyBorder="1" applyProtection="1">
      <protection locked="0"/>
    </xf>
    <xf numFmtId="2" fontId="3" fillId="0" borderId="97" xfId="8" applyNumberFormat="1" applyBorder="1" applyProtection="1">
      <protection locked="0"/>
    </xf>
    <xf numFmtId="3" fontId="3" fillId="0" borderId="98" xfId="8" applyNumberFormat="1" applyBorder="1" applyProtection="1">
      <protection locked="0"/>
    </xf>
    <xf numFmtId="182" fontId="11" fillId="0" borderId="0" xfId="8" applyFont="1" applyAlignment="1">
      <alignment horizontal="center" vertical="center"/>
    </xf>
    <xf numFmtId="196" fontId="3" fillId="0" borderId="104" xfId="10" applyNumberFormat="1" applyFont="1" applyBorder="1" applyAlignment="1">
      <alignment horizontal="left" vertical="center" shrinkToFit="1"/>
    </xf>
    <xf numFmtId="196" fontId="3" fillId="0" borderId="106" xfId="10" applyNumberFormat="1" applyFont="1" applyBorder="1" applyAlignment="1">
      <alignment horizontal="left" vertical="center" shrinkToFit="1"/>
    </xf>
    <xf numFmtId="198" fontId="3" fillId="0" borderId="0" xfId="10" applyNumberFormat="1" applyFont="1" applyAlignment="1">
      <alignment horizontal="center" vertical="center" shrinkToFit="1"/>
    </xf>
    <xf numFmtId="10" fontId="11" fillId="0" borderId="82" xfId="11" applyNumberFormat="1" applyFont="1" applyBorder="1" applyAlignment="1" applyProtection="1">
      <alignment horizontal="center" vertical="center"/>
    </xf>
    <xf numFmtId="182" fontId="3" fillId="0" borderId="0" xfId="8" applyAlignment="1">
      <alignment vertical="center"/>
    </xf>
    <xf numFmtId="182" fontId="3" fillId="0" borderId="0" xfId="8" applyAlignment="1">
      <alignment horizontal="center"/>
    </xf>
    <xf numFmtId="182" fontId="3" fillId="0" borderId="0" xfId="8" applyAlignment="1">
      <alignment vertical="center" shrinkToFit="1"/>
    </xf>
    <xf numFmtId="182" fontId="3" fillId="0" borderId="0" xfId="8" applyAlignment="1">
      <alignment horizontal="right" vertical="center" shrinkToFit="1"/>
    </xf>
    <xf numFmtId="182" fontId="3" fillId="0" borderId="27" xfId="8" applyBorder="1" applyAlignment="1">
      <alignment horizontal="center" vertical="center" shrinkToFit="1"/>
    </xf>
    <xf numFmtId="182" fontId="3" fillId="0" borderId="82" xfId="8" applyBorder="1" applyAlignment="1">
      <alignment horizontal="center" vertical="center" shrinkToFit="1"/>
    </xf>
    <xf numFmtId="182" fontId="3" fillId="0" borderId="103" xfId="8" applyBorder="1" applyAlignment="1">
      <alignment horizontal="center" vertical="center" shrinkToFit="1"/>
    </xf>
    <xf numFmtId="4" fontId="3" fillId="0" borderId="105" xfId="8" applyNumberFormat="1" applyBorder="1" applyAlignment="1">
      <alignment horizontal="right" shrinkToFit="1"/>
    </xf>
    <xf numFmtId="182" fontId="3" fillId="0" borderId="41" xfId="8" applyBorder="1" applyAlignment="1">
      <alignment horizontal="center" vertical="center" shrinkToFit="1"/>
    </xf>
    <xf numFmtId="182" fontId="3" fillId="0" borderId="5" xfId="8" applyBorder="1" applyAlignment="1">
      <alignment horizontal="center" vertical="center" shrinkToFit="1"/>
    </xf>
    <xf numFmtId="4" fontId="3" fillId="0" borderId="15" xfId="8" applyNumberFormat="1" applyBorder="1" applyAlignment="1">
      <alignment horizontal="right" shrinkToFit="1"/>
    </xf>
    <xf numFmtId="182" fontId="3" fillId="0" borderId="0" xfId="8" applyAlignment="1">
      <alignment horizontal="center" vertical="center" shrinkToFit="1"/>
    </xf>
    <xf numFmtId="4" fontId="3" fillId="0" borderId="0" xfId="8" applyNumberFormat="1" applyAlignment="1">
      <alignment horizontal="right" shrinkToFit="1"/>
    </xf>
    <xf numFmtId="1" fontId="3" fillId="0" borderId="110" xfId="8" applyNumberFormat="1" applyBorder="1" applyAlignment="1">
      <alignment vertical="center" textRotation="255"/>
    </xf>
    <xf numFmtId="1" fontId="3" fillId="0" borderId="112" xfId="8" applyNumberFormat="1" applyBorder="1" applyAlignment="1">
      <alignment vertical="center"/>
    </xf>
    <xf numFmtId="1" fontId="3" fillId="0" borderId="0" xfId="8" applyNumberFormat="1" applyAlignment="1">
      <alignment vertical="center" textRotation="255"/>
    </xf>
    <xf numFmtId="1" fontId="3" fillId="0" borderId="114" xfId="8" applyNumberFormat="1" applyBorder="1" applyAlignment="1">
      <alignment vertical="center"/>
    </xf>
    <xf numFmtId="1" fontId="3" fillId="0" borderId="0" xfId="8" applyNumberFormat="1" applyAlignment="1">
      <alignment horizontal="center" vertical="center"/>
    </xf>
    <xf numFmtId="200" fontId="3" fillId="0" borderId="0" xfId="8" applyNumberFormat="1" applyAlignment="1">
      <alignment vertical="center"/>
    </xf>
    <xf numFmtId="2" fontId="3" fillId="0" borderId="114" xfId="8" applyNumberFormat="1" applyBorder="1" applyAlignment="1">
      <alignment horizontal="center" vertical="center"/>
    </xf>
    <xf numFmtId="1" fontId="3" fillId="0" borderId="23" xfId="8" applyNumberFormat="1" applyBorder="1" applyAlignment="1">
      <alignment vertical="center" textRotation="255"/>
    </xf>
    <xf numFmtId="1" fontId="3" fillId="0" borderId="115" xfId="8" applyNumberFormat="1" applyBorder="1" applyAlignment="1">
      <alignment vertical="center"/>
    </xf>
    <xf numFmtId="182" fontId="3" fillId="0" borderId="0" xfId="8" applyAlignment="1">
      <alignment vertical="center" textRotation="255"/>
    </xf>
    <xf numFmtId="182" fontId="3" fillId="0" borderId="0" xfId="8" applyAlignment="1">
      <alignment horizontal="center" vertical="center"/>
    </xf>
    <xf numFmtId="182" fontId="3" fillId="0" borderId="91" xfId="8" applyBorder="1" applyAlignment="1">
      <alignment horizontal="center" vertical="center"/>
    </xf>
    <xf numFmtId="1" fontId="3" fillId="0" borderId="91" xfId="8" applyNumberFormat="1" applyBorder="1" applyAlignment="1">
      <alignment horizontal="right" vertical="center"/>
    </xf>
    <xf numFmtId="182" fontId="3" fillId="0" borderId="91" xfId="8" applyBorder="1" applyAlignment="1">
      <alignment vertical="center"/>
    </xf>
    <xf numFmtId="1" fontId="3" fillId="0" borderId="119" xfId="8" applyNumberFormat="1" applyBorder="1" applyAlignment="1">
      <alignment vertical="center"/>
    </xf>
    <xf numFmtId="1" fontId="3" fillId="0" borderId="0" xfId="8" applyNumberFormat="1" applyAlignment="1">
      <alignment horizontal="right" vertical="center"/>
    </xf>
    <xf numFmtId="0" fontId="3" fillId="0" borderId="0" xfId="8" applyNumberFormat="1" applyAlignment="1" applyProtection="1">
      <alignment vertical="center"/>
      <protection locked="0"/>
    </xf>
    <xf numFmtId="2" fontId="3" fillId="0" borderId="101" xfId="8" applyNumberFormat="1" applyBorder="1" applyAlignment="1">
      <alignment horizontal="center" vertical="center"/>
    </xf>
    <xf numFmtId="2" fontId="3" fillId="0" borderId="1" xfId="8" applyNumberFormat="1" applyBorder="1" applyAlignment="1">
      <alignment horizontal="center" vertical="center"/>
    </xf>
    <xf numFmtId="1" fontId="3" fillId="0" borderId="0" xfId="8" applyNumberFormat="1" applyAlignment="1">
      <alignment horizontal="center"/>
    </xf>
    <xf numFmtId="2" fontId="3" fillId="0" borderId="0" xfId="8" applyNumberFormat="1" applyAlignment="1">
      <alignment horizontal="center" vertical="center"/>
    </xf>
    <xf numFmtId="10" fontId="3" fillId="0" borderId="0" xfId="8" applyNumberFormat="1" applyAlignment="1">
      <alignment horizontal="center" vertical="center"/>
    </xf>
    <xf numFmtId="182" fontId="3" fillId="0" borderId="0" xfId="8"/>
    <xf numFmtId="1" fontId="3" fillId="0" borderId="39" xfId="8" applyNumberFormat="1" applyBorder="1" applyAlignment="1">
      <alignment vertical="center"/>
    </xf>
    <xf numFmtId="1" fontId="3" fillId="0" borderId="30" xfId="8" applyNumberFormat="1" applyBorder="1" applyAlignment="1">
      <alignment vertical="center"/>
    </xf>
    <xf numFmtId="182" fontId="3" fillId="0" borderId="30" xfId="8" applyBorder="1" applyAlignment="1">
      <alignment vertical="center"/>
    </xf>
    <xf numFmtId="1" fontId="3" fillId="0" borderId="31" xfId="8" applyNumberFormat="1" applyBorder="1" applyAlignment="1">
      <alignment vertical="center"/>
    </xf>
    <xf numFmtId="1" fontId="3" fillId="0" borderId="59" xfId="8" applyNumberFormat="1" applyBorder="1" applyAlignment="1">
      <alignment vertical="center"/>
    </xf>
    <xf numFmtId="1" fontId="3" fillId="0" borderId="0" xfId="8" applyNumberFormat="1" applyAlignment="1">
      <alignment vertical="center"/>
    </xf>
    <xf numFmtId="1" fontId="3" fillId="0" borderId="82" xfId="8" applyNumberFormat="1" applyBorder="1" applyAlignment="1">
      <alignment vertical="center"/>
    </xf>
    <xf numFmtId="1" fontId="3" fillId="0" borderId="0" xfId="8" quotePrefix="1" applyNumberFormat="1" applyAlignment="1">
      <alignment vertical="center"/>
    </xf>
    <xf numFmtId="1" fontId="3" fillId="0" borderId="22" xfId="8" applyNumberFormat="1" applyBorder="1" applyAlignment="1">
      <alignment vertical="center"/>
    </xf>
    <xf numFmtId="1" fontId="3" fillId="0" borderId="23" xfId="8" applyNumberFormat="1" applyBorder="1" applyAlignment="1">
      <alignment vertical="center"/>
    </xf>
    <xf numFmtId="182" fontId="3" fillId="0" borderId="23" xfId="8" applyBorder="1" applyAlignment="1">
      <alignment vertical="center"/>
    </xf>
    <xf numFmtId="1" fontId="3" fillId="0" borderId="24" xfId="8" applyNumberFormat="1" applyBorder="1" applyAlignment="1">
      <alignment vertical="center"/>
    </xf>
    <xf numFmtId="1" fontId="3" fillId="0" borderId="117" xfId="8" applyNumberFormat="1" applyBorder="1" applyAlignment="1">
      <alignment vertical="center"/>
    </xf>
    <xf numFmtId="1" fontId="3" fillId="0" borderId="121" xfId="8" applyNumberFormat="1" applyBorder="1" applyAlignment="1">
      <alignment vertical="center"/>
    </xf>
    <xf numFmtId="182" fontId="3" fillId="0" borderId="53" xfId="8" applyBorder="1" applyAlignment="1">
      <alignment horizontal="center" vertical="center"/>
    </xf>
    <xf numFmtId="39" fontId="3" fillId="0" borderId="30" xfId="8" applyNumberFormat="1" applyBorder="1" applyAlignment="1">
      <alignment horizontal="center" vertical="center"/>
    </xf>
    <xf numFmtId="182" fontId="3" fillId="0" borderId="30" xfId="8" applyBorder="1" applyAlignment="1">
      <alignment horizontal="center" vertical="center"/>
    </xf>
    <xf numFmtId="182" fontId="3" fillId="0" borderId="66" xfId="8" applyBorder="1" applyAlignment="1">
      <alignment horizontal="center" vertical="center"/>
    </xf>
    <xf numFmtId="39" fontId="3" fillId="0" borderId="87" xfId="8" applyNumberFormat="1" applyBorder="1" applyAlignment="1">
      <alignment vertical="center"/>
    </xf>
    <xf numFmtId="39" fontId="3" fillId="0" borderId="91" xfId="8" applyNumberFormat="1" applyBorder="1" applyAlignment="1">
      <alignment horizontal="center" vertical="center"/>
    </xf>
    <xf numFmtId="39" fontId="3" fillId="0" borderId="91" xfId="8" applyNumberFormat="1" applyBorder="1" applyAlignment="1">
      <alignment horizontal="right" vertical="center"/>
    </xf>
    <xf numFmtId="199" fontId="3" fillId="0" borderId="119" xfId="8" applyNumberFormat="1" applyBorder="1" applyAlignment="1">
      <alignment vertical="center"/>
    </xf>
    <xf numFmtId="39" fontId="3" fillId="0" borderId="92" xfId="8" applyNumberFormat="1" applyBorder="1" applyAlignment="1">
      <alignment vertical="center"/>
    </xf>
    <xf numFmtId="39" fontId="3" fillId="0" borderId="0" xfId="8" applyNumberFormat="1" applyAlignment="1">
      <alignment horizontal="center" vertical="center"/>
    </xf>
    <xf numFmtId="39" fontId="3" fillId="0" borderId="0" xfId="8" applyNumberFormat="1" applyAlignment="1">
      <alignment horizontal="right" vertical="center"/>
    </xf>
    <xf numFmtId="199" fontId="3" fillId="0" borderId="82" xfId="8" applyNumberFormat="1" applyBorder="1" applyAlignment="1">
      <alignment vertical="center"/>
    </xf>
    <xf numFmtId="39" fontId="3" fillId="0" borderId="89" xfId="8" applyNumberFormat="1" applyBorder="1" applyAlignment="1">
      <alignment vertical="center"/>
    </xf>
    <xf numFmtId="39" fontId="3" fillId="0" borderId="101" xfId="8" applyNumberFormat="1" applyBorder="1" applyAlignment="1">
      <alignment horizontal="center" vertical="center"/>
    </xf>
    <xf numFmtId="39" fontId="3" fillId="0" borderId="101" xfId="8" applyNumberFormat="1" applyBorder="1" applyAlignment="1">
      <alignment horizontal="right" vertical="center"/>
    </xf>
    <xf numFmtId="182" fontId="3" fillId="0" borderId="101" xfId="8" applyBorder="1" applyAlignment="1">
      <alignment horizontal="center" vertical="center"/>
    </xf>
    <xf numFmtId="199" fontId="3" fillId="0" borderId="125" xfId="8" applyNumberFormat="1" applyBorder="1" applyAlignment="1">
      <alignment vertical="center"/>
    </xf>
    <xf numFmtId="182" fontId="3" fillId="0" borderId="127" xfId="8" applyBorder="1" applyAlignment="1">
      <alignment horizontal="center" vertical="center"/>
    </xf>
    <xf numFmtId="2" fontId="3" fillId="0" borderId="87" xfId="8" applyNumberFormat="1" applyBorder="1" applyAlignment="1">
      <alignment vertical="center"/>
    </xf>
    <xf numFmtId="2" fontId="3" fillId="0" borderId="92" xfId="8" applyNumberFormat="1" applyBorder="1" applyAlignment="1">
      <alignment vertical="center"/>
    </xf>
    <xf numFmtId="182" fontId="3" fillId="0" borderId="128" xfId="8" applyBorder="1" applyAlignment="1">
      <alignment horizontal="center" vertical="center"/>
    </xf>
    <xf numFmtId="2" fontId="3" fillId="0" borderId="89" xfId="8" applyNumberFormat="1" applyBorder="1" applyAlignment="1">
      <alignment vertical="center"/>
    </xf>
    <xf numFmtId="1" fontId="3" fillId="0" borderId="129" xfId="8" applyNumberFormat="1" applyBorder="1"/>
    <xf numFmtId="1" fontId="3" fillId="0" borderId="129" xfId="8" applyNumberFormat="1" applyBorder="1" applyAlignment="1">
      <alignment horizontal="center" vertical="center"/>
    </xf>
    <xf numFmtId="1" fontId="3" fillId="0" borderId="129" xfId="8" applyNumberFormat="1" applyBorder="1" applyAlignment="1">
      <alignment vertical="center"/>
    </xf>
    <xf numFmtId="1" fontId="3" fillId="0" borderId="129" xfId="8" applyNumberFormat="1" applyBorder="1" applyAlignment="1">
      <alignment horizontal="center"/>
    </xf>
    <xf numFmtId="199" fontId="3" fillId="0" borderId="130" xfId="8" applyNumberFormat="1" applyBorder="1"/>
    <xf numFmtId="0" fontId="17" fillId="2" borderId="65" xfId="0" applyFont="1" applyFill="1" applyBorder="1" applyAlignment="1" applyProtection="1">
      <alignment horizontal="center" vertical="center" wrapText="1"/>
      <protection locked="0"/>
    </xf>
    <xf numFmtId="0" fontId="17" fillId="0" borderId="64" xfId="0" applyFont="1" applyBorder="1">
      <alignment vertical="center"/>
    </xf>
    <xf numFmtId="0" fontId="17" fillId="0" borderId="85" xfId="0" applyFont="1" applyBorder="1">
      <alignment vertical="center"/>
    </xf>
    <xf numFmtId="0" fontId="17" fillId="0" borderId="67" xfId="0" applyFont="1" applyBorder="1">
      <alignment vertical="center"/>
    </xf>
    <xf numFmtId="0" fontId="31" fillId="0" borderId="84" xfId="0" applyFont="1" applyBorder="1">
      <alignment vertical="center"/>
    </xf>
    <xf numFmtId="0" fontId="31" fillId="0" borderId="65" xfId="0" applyFont="1" applyBorder="1">
      <alignment vertical="center"/>
    </xf>
    <xf numFmtId="4" fontId="3" fillId="0" borderId="131" xfId="8" applyNumberFormat="1" applyBorder="1" applyAlignment="1">
      <alignment horizontal="right" shrinkToFit="1"/>
    </xf>
    <xf numFmtId="4" fontId="3" fillId="0" borderId="44" xfId="8" applyNumberFormat="1" applyBorder="1" applyAlignment="1">
      <alignment horizontal="right" shrinkToFit="1"/>
    </xf>
    <xf numFmtId="0" fontId="31" fillId="0" borderId="0" xfId="0" applyFont="1">
      <alignment vertical="center"/>
    </xf>
    <xf numFmtId="3" fontId="31" fillId="0" borderId="65" xfId="0" applyNumberFormat="1" applyFont="1" applyBorder="1">
      <alignment vertical="center"/>
    </xf>
    <xf numFmtId="38" fontId="32" fillId="0" borderId="65" xfId="1" applyFont="1" applyFill="1" applyBorder="1">
      <alignment vertical="center"/>
    </xf>
    <xf numFmtId="188" fontId="32" fillId="0" borderId="65" xfId="1" applyNumberFormat="1" applyFont="1" applyFill="1" applyBorder="1">
      <alignment vertical="center"/>
    </xf>
    <xf numFmtId="182" fontId="31" fillId="0" borderId="65" xfId="0" applyNumberFormat="1" applyFont="1" applyBorder="1">
      <alignment vertical="center"/>
    </xf>
    <xf numFmtId="0" fontId="31" fillId="0" borderId="83" xfId="0" applyFont="1" applyBorder="1">
      <alignment vertical="center"/>
    </xf>
    <xf numFmtId="0" fontId="31" fillId="0" borderId="86" xfId="0" applyFont="1" applyBorder="1">
      <alignment vertical="center"/>
    </xf>
    <xf numFmtId="0" fontId="31" fillId="0" borderId="65" xfId="0" applyFont="1" applyBorder="1" applyAlignment="1">
      <alignment vertical="center" shrinkToFit="1"/>
    </xf>
    <xf numFmtId="0" fontId="31" fillId="0" borderId="0" xfId="0" applyFont="1" applyAlignment="1">
      <alignment vertical="center" shrinkToFit="1"/>
    </xf>
    <xf numFmtId="0" fontId="31" fillId="2" borderId="65" xfId="0" applyFont="1" applyFill="1" applyBorder="1" applyProtection="1">
      <alignment vertical="center"/>
      <protection locked="0"/>
    </xf>
    <xf numFmtId="38" fontId="31" fillId="0" borderId="65" xfId="0" applyNumberFormat="1" applyFont="1" applyBorder="1">
      <alignment vertical="center"/>
    </xf>
    <xf numFmtId="188" fontId="31" fillId="0" borderId="65" xfId="1" applyNumberFormat="1" applyFont="1" applyBorder="1">
      <alignment vertical="center"/>
    </xf>
    <xf numFmtId="188" fontId="31" fillId="0" borderId="0" xfId="1" applyNumberFormat="1" applyFont="1" applyBorder="1">
      <alignment vertical="center"/>
    </xf>
    <xf numFmtId="38" fontId="31" fillId="0" borderId="65" xfId="1" applyFont="1" applyBorder="1">
      <alignment vertical="center"/>
    </xf>
    <xf numFmtId="188" fontId="31" fillId="0" borderId="65" xfId="0" applyNumberFormat="1" applyFont="1" applyBorder="1">
      <alignment vertical="center"/>
    </xf>
    <xf numFmtId="188" fontId="31" fillId="0" borderId="0" xfId="0" applyNumberFormat="1" applyFont="1">
      <alignment vertical="center"/>
    </xf>
    <xf numFmtId="0" fontId="32" fillId="0" borderId="0" xfId="0" applyFont="1">
      <alignment vertical="center"/>
    </xf>
    <xf numFmtId="0" fontId="32" fillId="0" borderId="65" xfId="0" applyFont="1" applyBorder="1">
      <alignment vertical="center"/>
    </xf>
    <xf numFmtId="193" fontId="32" fillId="0" borderId="65" xfId="0" applyNumberFormat="1" applyFont="1" applyBorder="1">
      <alignment vertical="center"/>
    </xf>
    <xf numFmtId="0" fontId="32" fillId="0" borderId="65" xfId="0" applyFont="1" applyBorder="1" applyAlignment="1">
      <alignment horizontal="center" vertical="center"/>
    </xf>
    <xf numFmtId="188" fontId="32" fillId="0" borderId="65" xfId="1" applyNumberFormat="1" applyFont="1" applyBorder="1">
      <alignment vertical="center"/>
    </xf>
    <xf numFmtId="188" fontId="32" fillId="2" borderId="65" xfId="1" applyNumberFormat="1" applyFont="1" applyFill="1" applyBorder="1" applyProtection="1">
      <alignment vertical="center"/>
      <protection locked="0"/>
    </xf>
    <xf numFmtId="193" fontId="32" fillId="2" borderId="65" xfId="1" applyNumberFormat="1" applyFont="1" applyFill="1" applyBorder="1" applyProtection="1">
      <alignment vertical="center"/>
      <protection locked="0"/>
    </xf>
    <xf numFmtId="193" fontId="32" fillId="0" borderId="0" xfId="1" applyNumberFormat="1" applyFont="1" applyFill="1" applyBorder="1">
      <alignment vertical="center"/>
    </xf>
    <xf numFmtId="193" fontId="32" fillId="0" borderId="65" xfId="1" applyNumberFormat="1" applyFont="1" applyFill="1" applyBorder="1">
      <alignment vertical="center"/>
    </xf>
    <xf numFmtId="38" fontId="31" fillId="0" borderId="0" xfId="0" applyNumberFormat="1" applyFont="1">
      <alignment vertical="center"/>
    </xf>
    <xf numFmtId="38" fontId="31" fillId="0" borderId="0" xfId="1" applyFont="1">
      <alignment vertical="center"/>
    </xf>
    <xf numFmtId="0" fontId="35" fillId="0" borderId="0" xfId="0" applyFont="1">
      <alignment vertical="center"/>
    </xf>
    <xf numFmtId="0" fontId="14" fillId="0" borderId="132" xfId="0" applyFont="1" applyBorder="1">
      <alignment vertical="center"/>
    </xf>
    <xf numFmtId="0" fontId="14" fillId="0" borderId="133" xfId="0" applyFont="1" applyBorder="1">
      <alignment vertical="center"/>
    </xf>
    <xf numFmtId="0" fontId="14" fillId="0" borderId="134" xfId="0" applyFont="1" applyBorder="1">
      <alignment vertical="center"/>
    </xf>
    <xf numFmtId="0" fontId="14" fillId="0" borderId="135" xfId="0" applyFont="1" applyBorder="1">
      <alignment vertical="center"/>
    </xf>
    <xf numFmtId="0" fontId="14" fillId="0" borderId="136" xfId="0" applyFont="1" applyBorder="1">
      <alignment vertical="center"/>
    </xf>
    <xf numFmtId="0" fontId="14" fillId="0" borderId="103" xfId="0" applyFont="1" applyBorder="1">
      <alignment vertical="center"/>
    </xf>
    <xf numFmtId="0" fontId="14" fillId="0" borderId="137" xfId="0" applyFont="1" applyBorder="1">
      <alignment vertical="center"/>
    </xf>
    <xf numFmtId="0" fontId="14" fillId="0" borderId="138" xfId="0" applyFont="1" applyBorder="1">
      <alignment vertical="center"/>
    </xf>
    <xf numFmtId="38" fontId="14" fillId="0" borderId="138" xfId="0" applyNumberFormat="1" applyFont="1" applyBorder="1">
      <alignment vertical="center"/>
    </xf>
    <xf numFmtId="0" fontId="14" fillId="5" borderId="98" xfId="0" applyFont="1" applyFill="1" applyBorder="1">
      <alignment vertical="center"/>
    </xf>
    <xf numFmtId="0" fontId="34" fillId="0" borderId="0" xfId="0" applyFont="1" applyAlignment="1">
      <alignment horizontal="right" vertical="center"/>
    </xf>
    <xf numFmtId="0" fontId="36" fillId="0" borderId="65" xfId="0" applyFont="1" applyBorder="1" applyAlignment="1">
      <alignment vertical="center" wrapText="1"/>
    </xf>
    <xf numFmtId="0" fontId="37" fillId="0" borderId="65" xfId="7" applyFont="1" applyBorder="1" applyAlignment="1">
      <alignment vertical="center" wrapText="1"/>
    </xf>
    <xf numFmtId="38" fontId="0" fillId="0" borderId="0" xfId="1" applyFont="1">
      <alignment vertical="center"/>
    </xf>
    <xf numFmtId="0" fontId="25" fillId="0" borderId="65" xfId="0" applyFont="1" applyBorder="1" applyAlignment="1">
      <alignment vertical="center" wrapText="1"/>
    </xf>
    <xf numFmtId="0" fontId="20" fillId="0" borderId="84" xfId="7" applyFill="1" applyBorder="1">
      <alignment vertical="center"/>
    </xf>
    <xf numFmtId="0" fontId="25" fillId="0" borderId="0" xfId="0" applyFont="1" applyAlignment="1">
      <alignment vertical="center" wrapText="1"/>
    </xf>
    <xf numFmtId="0" fontId="3" fillId="0" borderId="0" xfId="2" applyAlignment="1" applyProtection="1">
      <alignment horizontal="right"/>
      <protection locked="0"/>
    </xf>
    <xf numFmtId="0" fontId="38" fillId="0" borderId="0" xfId="0" applyFont="1" applyAlignment="1">
      <alignment horizontal="right" vertical="center"/>
    </xf>
    <xf numFmtId="0" fontId="39" fillId="0" borderId="0" xfId="5" applyFont="1" applyAlignment="1" applyProtection="1">
      <alignment horizontal="right" vertical="top"/>
      <protection locked="0"/>
    </xf>
    <xf numFmtId="0" fontId="40" fillId="0" borderId="0" xfId="2" applyFont="1" applyAlignment="1">
      <alignment horizontal="right" vertical="top"/>
    </xf>
    <xf numFmtId="0" fontId="38" fillId="0" borderId="0" xfId="0" applyFont="1" applyAlignment="1">
      <alignment horizontal="right" vertical="top"/>
    </xf>
    <xf numFmtId="0" fontId="39" fillId="0" borderId="0" xfId="3" applyFont="1" applyAlignment="1" applyProtection="1">
      <alignment horizontal="right" vertical="top"/>
      <protection locked="0"/>
    </xf>
    <xf numFmtId="0" fontId="39" fillId="0" borderId="0" xfId="4" applyFont="1" applyAlignment="1">
      <alignment horizontal="right" vertical="top"/>
    </xf>
    <xf numFmtId="0" fontId="39" fillId="0" borderId="0" xfId="8" applyNumberFormat="1" applyFont="1" applyAlignment="1" applyProtection="1">
      <alignment horizontal="right" vertical="top"/>
      <protection locked="0"/>
    </xf>
    <xf numFmtId="182" fontId="39" fillId="0" borderId="0" xfId="8" applyFont="1" applyAlignment="1">
      <alignment horizontal="right" vertical="top" shrinkToFit="1"/>
    </xf>
    <xf numFmtId="0" fontId="14" fillId="0" borderId="65" xfId="0" applyFont="1" applyBorder="1" applyAlignment="1">
      <alignment vertical="center" shrinkToFit="1"/>
    </xf>
    <xf numFmtId="0" fontId="41" fillId="0" borderId="40" xfId="4" applyFont="1" applyBorder="1" applyAlignment="1">
      <alignment horizontal="distributed" vertical="center" wrapText="1"/>
    </xf>
    <xf numFmtId="0" fontId="42" fillId="0" borderId="93" xfId="8" applyNumberFormat="1" applyFont="1" applyBorder="1" applyAlignment="1" applyProtection="1">
      <alignment horizontal="center" vertical="center" wrapText="1"/>
      <protection locked="0"/>
    </xf>
    <xf numFmtId="0" fontId="42" fillId="0" borderId="94" xfId="8" applyNumberFormat="1" applyFont="1" applyBorder="1" applyAlignment="1" applyProtection="1">
      <alignment horizontal="center" vertical="center" wrapText="1"/>
      <protection locked="0"/>
    </xf>
    <xf numFmtId="0" fontId="42" fillId="0" borderId="95" xfId="8" applyNumberFormat="1" applyFont="1" applyBorder="1" applyAlignment="1" applyProtection="1">
      <alignment horizontal="center" vertical="center" wrapText="1"/>
      <protection locked="0"/>
    </xf>
    <xf numFmtId="199" fontId="3" fillId="0" borderId="31" xfId="8" applyNumberFormat="1" applyBorder="1" applyAlignment="1">
      <alignment horizontal="right" vertical="center" shrinkToFit="1"/>
    </xf>
    <xf numFmtId="199" fontId="3" fillId="0" borderId="119" xfId="8" applyNumberFormat="1" applyBorder="1" applyAlignment="1">
      <alignment horizontal="right" vertical="center" shrinkToFit="1"/>
    </xf>
    <xf numFmtId="0" fontId="41" fillId="0" borderId="65" xfId="0" applyFont="1" applyBorder="1" applyAlignment="1">
      <alignment vertical="center" wrapText="1"/>
    </xf>
    <xf numFmtId="40" fontId="41" fillId="0" borderId="65" xfId="1" applyNumberFormat="1" applyFont="1" applyBorder="1" applyAlignment="1">
      <alignment vertical="center" wrapText="1"/>
    </xf>
    <xf numFmtId="0" fontId="20" fillId="0" borderId="84" xfId="7" applyBorder="1" applyAlignment="1">
      <alignment vertical="center" wrapText="1"/>
    </xf>
    <xf numFmtId="0" fontId="7" fillId="0" borderId="8" xfId="2" applyFont="1" applyBorder="1" applyAlignment="1">
      <alignment horizontal="center" shrinkToFit="1"/>
    </xf>
    <xf numFmtId="3" fontId="48" fillId="0" borderId="2" xfId="2" applyNumberFormat="1" applyFont="1" applyBorder="1" applyAlignment="1">
      <alignment horizontal="center" vertical="center" wrapText="1"/>
    </xf>
    <xf numFmtId="0" fontId="12" fillId="0" borderId="3" xfId="0" applyFont="1" applyBorder="1" applyAlignment="1" applyProtection="1">
      <alignment horizontal="center" vertical="center"/>
      <protection locked="0"/>
    </xf>
    <xf numFmtId="0" fontId="12" fillId="0" borderId="3" xfId="0" applyFont="1" applyBorder="1" applyProtection="1">
      <alignment vertical="center"/>
      <protection locked="0"/>
    </xf>
    <xf numFmtId="0" fontId="12" fillId="0" borderId="3" xfId="0" applyFont="1" applyBorder="1" applyAlignment="1" applyProtection="1">
      <alignment vertical="center" wrapText="1"/>
      <protection locked="0"/>
    </xf>
    <xf numFmtId="0" fontId="12" fillId="0" borderId="4" xfId="0" applyFont="1" applyBorder="1" applyProtection="1">
      <alignment vertical="center"/>
      <protection locked="0"/>
    </xf>
    <xf numFmtId="3" fontId="49" fillId="0" borderId="2" xfId="2" applyNumberFormat="1" applyFont="1" applyBorder="1" applyAlignment="1">
      <alignment vertical="center" wrapText="1"/>
    </xf>
    <xf numFmtId="3" fontId="49" fillId="0" borderId="3" xfId="2" applyNumberFormat="1" applyFont="1" applyBorder="1" applyAlignment="1">
      <alignment vertical="center"/>
    </xf>
    <xf numFmtId="3" fontId="49" fillId="0" borderId="3" xfId="2" applyNumberFormat="1" applyFont="1" applyBorder="1" applyAlignment="1">
      <alignment vertical="center" wrapText="1"/>
    </xf>
    <xf numFmtId="3" fontId="49" fillId="0" borderId="4" xfId="2" applyNumberFormat="1" applyFont="1" applyBorder="1" applyAlignment="1">
      <alignment vertical="center"/>
    </xf>
    <xf numFmtId="0" fontId="20" fillId="0" borderId="65" xfId="7" applyBorder="1" applyAlignment="1">
      <alignment vertical="center" wrapText="1"/>
    </xf>
    <xf numFmtId="0" fontId="17" fillId="0" borderId="65" xfId="0" applyFont="1" applyBorder="1" applyAlignment="1">
      <alignment vertical="center" wrapText="1"/>
    </xf>
    <xf numFmtId="0" fontId="17" fillId="0" borderId="83" xfId="0" applyFont="1" applyBorder="1" applyAlignment="1">
      <alignment vertical="center" wrapText="1"/>
    </xf>
    <xf numFmtId="0" fontId="17" fillId="0" borderId="86" xfId="0" applyFont="1" applyBorder="1" applyAlignment="1">
      <alignment vertical="center" wrapText="1"/>
    </xf>
    <xf numFmtId="0" fontId="17" fillId="0" borderId="84" xfId="0" applyFont="1" applyBorder="1" applyAlignment="1">
      <alignment vertical="center" wrapText="1"/>
    </xf>
    <xf numFmtId="0" fontId="31" fillId="0" borderId="65" xfId="0" applyFont="1" applyBorder="1" applyAlignment="1">
      <alignment vertical="center" wrapText="1"/>
    </xf>
    <xf numFmtId="0" fontId="17" fillId="2" borderId="65" xfId="0" applyFont="1" applyFill="1" applyBorder="1" applyProtection="1">
      <alignment vertical="center"/>
      <protection locked="0"/>
    </xf>
    <xf numFmtId="0" fontId="20" fillId="0" borderId="86" xfId="7" applyFill="1" applyBorder="1" applyAlignment="1">
      <alignment vertical="center" wrapText="1"/>
    </xf>
    <xf numFmtId="0" fontId="20" fillId="0" borderId="86" xfId="7" applyFill="1" applyBorder="1">
      <alignment vertical="center"/>
    </xf>
    <xf numFmtId="0" fontId="20" fillId="0" borderId="84" xfId="7" applyFill="1" applyBorder="1">
      <alignment vertical="center"/>
    </xf>
    <xf numFmtId="0" fontId="20" fillId="0" borderId="84" xfId="7" applyBorder="1">
      <alignment vertical="center"/>
    </xf>
    <xf numFmtId="0" fontId="20" fillId="0" borderId="65" xfId="7" applyBorder="1">
      <alignment vertical="center"/>
    </xf>
    <xf numFmtId="0" fontId="20" fillId="0" borderId="84" xfId="7" applyBorder="1" applyAlignment="1">
      <alignment vertical="center" wrapText="1"/>
    </xf>
    <xf numFmtId="0" fontId="45" fillId="0" borderId="84" xfId="7" applyFont="1" applyBorder="1" applyAlignment="1">
      <alignment vertical="center" wrapText="1" shrinkToFit="1"/>
    </xf>
    <xf numFmtId="0" fontId="46" fillId="0" borderId="65" xfId="7" applyFont="1" applyBorder="1" applyAlignment="1">
      <alignment vertical="center" wrapText="1" shrinkToFit="1"/>
    </xf>
    <xf numFmtId="0" fontId="43" fillId="0" borderId="84" xfId="7" applyFont="1" applyBorder="1" applyAlignment="1">
      <alignment vertical="center" wrapText="1"/>
    </xf>
    <xf numFmtId="0" fontId="44" fillId="0" borderId="65" xfId="7" applyFont="1" applyBorder="1">
      <alignment vertical="center"/>
    </xf>
    <xf numFmtId="0" fontId="31" fillId="0" borderId="84" xfId="0" applyFont="1" applyBorder="1">
      <alignment vertical="center"/>
    </xf>
    <xf numFmtId="0" fontId="31" fillId="0" borderId="65" xfId="0" applyFont="1" applyBorder="1">
      <alignment vertical="center"/>
    </xf>
    <xf numFmtId="0" fontId="7" fillId="0" borderId="53" xfId="5" applyFont="1" applyBorder="1" applyAlignment="1">
      <alignment horizontal="center" vertical="center"/>
    </xf>
    <xf numFmtId="0" fontId="3" fillId="0" borderId="28" xfId="0" applyFont="1" applyBorder="1" applyAlignment="1" applyProtection="1">
      <alignment horizontal="center" vertical="center"/>
      <protection locked="0"/>
    </xf>
    <xf numFmtId="0" fontId="7" fillId="0" borderId="35" xfId="5" applyFont="1" applyBorder="1" applyAlignment="1">
      <alignment horizontal="center" vertical="center"/>
    </xf>
    <xf numFmtId="0" fontId="3" fillId="0" borderId="57" xfId="0" applyFont="1" applyBorder="1" applyAlignment="1" applyProtection="1">
      <alignment horizontal="center" vertical="center"/>
      <protection locked="0"/>
    </xf>
    <xf numFmtId="0" fontId="7" fillId="0" borderId="25" xfId="5" applyFont="1" applyBorder="1" applyAlignment="1">
      <alignment horizontal="center" vertical="center"/>
    </xf>
    <xf numFmtId="0" fontId="3" fillId="0" borderId="25" xfId="0" applyFont="1" applyBorder="1" applyAlignment="1" applyProtection="1">
      <alignment horizontal="center" vertical="center"/>
      <protection locked="0"/>
    </xf>
    <xf numFmtId="0" fontId="7" fillId="0" borderId="54" xfId="5" applyFont="1" applyBorder="1" applyAlignment="1">
      <alignment horizontal="distributed" vertical="center"/>
    </xf>
    <xf numFmtId="0" fontId="3" fillId="0" borderId="55" xfId="0" applyFont="1" applyBorder="1" applyAlignment="1" applyProtection="1">
      <alignment horizontal="distributed" vertical="center"/>
      <protection locked="0"/>
    </xf>
    <xf numFmtId="0" fontId="5" fillId="0" borderId="0" xfId="5" applyFont="1" applyAlignment="1">
      <alignment horizontal="center"/>
    </xf>
    <xf numFmtId="0" fontId="6" fillId="0" borderId="0" xfId="0" applyFont="1" applyAlignment="1" applyProtection="1">
      <alignment horizontal="center"/>
      <protection locked="0"/>
    </xf>
    <xf numFmtId="0" fontId="7" fillId="0" borderId="2" xfId="5" applyFont="1" applyBorder="1" applyAlignment="1">
      <alignment horizontal="left" vertical="center" wrapText="1"/>
    </xf>
    <xf numFmtId="0" fontId="7" fillId="0" borderId="3" xfId="5" applyFont="1" applyBorder="1" applyAlignment="1">
      <alignment horizontal="left" vertical="center" wrapText="1"/>
    </xf>
    <xf numFmtId="0" fontId="7" fillId="0" borderId="4" xfId="5" applyFont="1" applyBorder="1" applyAlignment="1">
      <alignment horizontal="left" vertical="center" wrapText="1"/>
    </xf>
    <xf numFmtId="182" fontId="7" fillId="0" borderId="5" xfId="5" applyNumberFormat="1" applyFont="1" applyBorder="1" applyAlignment="1">
      <alignment horizontal="right" wrapText="1"/>
    </xf>
    <xf numFmtId="182" fontId="3" fillId="0" borderId="6" xfId="0" applyNumberFormat="1" applyFont="1" applyBorder="1" applyAlignment="1" applyProtection="1">
      <alignment horizontal="right"/>
      <protection locked="0"/>
    </xf>
    <xf numFmtId="3" fontId="7" fillId="0" borderId="51" xfId="5" applyNumberFormat="1" applyFont="1" applyBorder="1" applyAlignment="1">
      <alignment horizontal="center"/>
    </xf>
    <xf numFmtId="0" fontId="3" fillId="0" borderId="50" xfId="0" applyFont="1" applyBorder="1" applyAlignment="1" applyProtection="1">
      <alignment horizontal="center"/>
      <protection locked="0"/>
    </xf>
    <xf numFmtId="0" fontId="7" fillId="0" borderId="20" xfId="5" applyFont="1" applyBorder="1" applyAlignment="1">
      <alignment horizontal="distributed" vertical="center"/>
    </xf>
    <xf numFmtId="0" fontId="7" fillId="0" borderId="60" xfId="5" applyFont="1" applyBorder="1" applyAlignment="1">
      <alignment horizontal="distributed" vertical="center"/>
    </xf>
    <xf numFmtId="0" fontId="7" fillId="0" borderId="20" xfId="5" applyFont="1" applyBorder="1" applyAlignment="1">
      <alignment horizontal="left" vertical="center" wrapText="1"/>
    </xf>
    <xf numFmtId="0" fontId="3" fillId="0" borderId="60" xfId="0" applyFont="1" applyBorder="1" applyAlignment="1" applyProtection="1">
      <alignment horizontal="left" vertical="center" wrapText="1"/>
      <protection locked="0"/>
    </xf>
    <xf numFmtId="0" fontId="3" fillId="0" borderId="21" xfId="0" applyFont="1" applyBorder="1" applyAlignment="1" applyProtection="1">
      <alignment horizontal="left" vertical="center" wrapText="1"/>
      <protection locked="0"/>
    </xf>
    <xf numFmtId="3" fontId="7" fillId="0" borderId="53" xfId="5" applyNumberFormat="1" applyFont="1" applyBorder="1" applyAlignment="1">
      <alignment horizontal="center" vertical="center" wrapText="1"/>
    </xf>
    <xf numFmtId="0" fontId="3" fillId="0" borderId="28" xfId="0" applyFont="1" applyBorder="1" applyProtection="1">
      <alignment vertical="center"/>
      <protection locked="0"/>
    </xf>
    <xf numFmtId="0" fontId="3" fillId="0" borderId="28" xfId="0" applyFont="1" applyBorder="1" applyAlignment="1" applyProtection="1">
      <alignment vertical="center" wrapText="1"/>
      <protection locked="0"/>
    </xf>
    <xf numFmtId="3" fontId="7" fillId="0" borderId="35" xfId="5" applyNumberFormat="1" applyFont="1" applyBorder="1" applyAlignment="1">
      <alignment horizontal="center" vertical="center" wrapText="1"/>
    </xf>
    <xf numFmtId="3" fontId="7" fillId="0" borderId="57" xfId="5" applyNumberFormat="1" applyFont="1" applyBorder="1" applyAlignment="1">
      <alignment horizontal="center" vertical="center" wrapText="1"/>
    </xf>
    <xf numFmtId="0" fontId="7" fillId="0" borderId="21" xfId="5" applyFont="1" applyBorder="1" applyAlignment="1">
      <alignment horizontal="distributed" vertical="center"/>
    </xf>
    <xf numFmtId="0" fontId="3" fillId="0" borderId="66" xfId="0" applyFont="1" applyBorder="1" applyAlignment="1" applyProtection="1">
      <alignment horizontal="center" vertical="center"/>
      <protection locked="0"/>
    </xf>
    <xf numFmtId="0" fontId="3" fillId="0" borderId="68" xfId="0" applyFont="1" applyBorder="1" applyAlignment="1" applyProtection="1">
      <alignment horizontal="center" vertical="center"/>
      <protection locked="0"/>
    </xf>
    <xf numFmtId="0" fontId="7" fillId="0" borderId="64" xfId="5" applyFont="1" applyBorder="1" applyAlignment="1">
      <alignment horizontal="distributed" vertical="center" wrapText="1"/>
    </xf>
    <xf numFmtId="0" fontId="7" fillId="0" borderId="69" xfId="5" applyFont="1" applyBorder="1" applyAlignment="1">
      <alignment horizontal="distributed" vertical="center" wrapText="1"/>
    </xf>
    <xf numFmtId="0" fontId="7" fillId="0" borderId="7" xfId="5" applyFont="1" applyBorder="1" applyAlignment="1">
      <alignment horizontal="distributed" vertical="center"/>
    </xf>
    <xf numFmtId="0" fontId="7" fillId="0" borderId="6" xfId="5" applyFont="1" applyBorder="1" applyAlignment="1">
      <alignment horizontal="distributed" vertical="center"/>
    </xf>
    <xf numFmtId="0" fontId="7" fillId="0" borderId="61" xfId="5" applyFont="1" applyBorder="1" applyAlignment="1">
      <alignment horizontal="center" vertical="center" textRotation="255"/>
    </xf>
    <xf numFmtId="0" fontId="7" fillId="0" borderId="25" xfId="5" applyFont="1" applyBorder="1" applyAlignment="1">
      <alignment horizontal="center" vertical="center" textRotation="255"/>
    </xf>
    <xf numFmtId="0" fontId="7" fillId="0" borderId="72" xfId="5" applyFont="1" applyBorder="1" applyAlignment="1">
      <alignment horizontal="center" vertical="center" textRotation="255"/>
    </xf>
    <xf numFmtId="0" fontId="3" fillId="0" borderId="28" xfId="0" applyFont="1" applyBorder="1" applyAlignment="1" applyProtection="1">
      <alignment horizontal="center" vertical="center" wrapText="1"/>
      <protection locked="0"/>
    </xf>
    <xf numFmtId="0" fontId="7" fillId="0" borderId="22" xfId="5" applyFont="1" applyBorder="1" applyAlignment="1">
      <alignment horizontal="distributed" vertical="center"/>
    </xf>
    <xf numFmtId="0" fontId="7" fillId="0" borderId="23" xfId="5" applyFont="1" applyBorder="1" applyAlignment="1">
      <alignment horizontal="distributed" vertical="center"/>
    </xf>
    <xf numFmtId="0" fontId="7" fillId="0" borderId="62" xfId="5" applyFont="1" applyBorder="1" applyAlignment="1">
      <alignment horizontal="distributed" vertical="center"/>
    </xf>
    <xf numFmtId="0" fontId="7" fillId="0" borderId="63" xfId="5" applyFont="1" applyBorder="1" applyAlignment="1">
      <alignment horizontal="center" vertical="center"/>
    </xf>
    <xf numFmtId="0" fontId="7" fillId="0" borderId="67" xfId="5" applyFont="1" applyBorder="1" applyAlignment="1">
      <alignment horizontal="distributed" vertical="center" wrapText="1"/>
    </xf>
    <xf numFmtId="0" fontId="7" fillId="0" borderId="77" xfId="5" applyFont="1" applyBorder="1" applyAlignment="1">
      <alignment horizontal="left" vertical="center"/>
    </xf>
    <xf numFmtId="0" fontId="3" fillId="0" borderId="78" xfId="0" applyFont="1" applyBorder="1" applyAlignment="1" applyProtection="1">
      <alignment horizontal="left" vertical="center"/>
      <protection locked="0"/>
    </xf>
    <xf numFmtId="0" fontId="3" fillId="0" borderId="79" xfId="0" applyFont="1" applyBorder="1" applyAlignment="1" applyProtection="1">
      <alignment horizontal="left" vertical="center"/>
      <protection locked="0"/>
    </xf>
    <xf numFmtId="0" fontId="7" fillId="0" borderId="55" xfId="5" applyFont="1" applyBorder="1" applyAlignment="1">
      <alignment horizontal="distributed" vertical="center"/>
    </xf>
    <xf numFmtId="0" fontId="7" fillId="0" borderId="56" xfId="5" applyFont="1" applyBorder="1" applyAlignment="1">
      <alignment horizontal="distributed" vertical="center"/>
    </xf>
    <xf numFmtId="0" fontId="7" fillId="0" borderId="20" xfId="5" applyFont="1" applyBorder="1" applyAlignment="1">
      <alignment vertical="center"/>
    </xf>
    <xf numFmtId="0" fontId="3" fillId="0" borderId="60" xfId="0" applyFont="1" applyBorder="1" applyAlignment="1" applyProtection="1">
      <protection locked="0"/>
    </xf>
    <xf numFmtId="0" fontId="3" fillId="0" borderId="21" xfId="0" applyFont="1" applyBorder="1" applyAlignment="1" applyProtection="1">
      <protection locked="0"/>
    </xf>
    <xf numFmtId="0" fontId="3" fillId="0" borderId="60" xfId="0" applyFont="1" applyBorder="1" applyProtection="1">
      <alignment vertical="center"/>
      <protection locked="0"/>
    </xf>
    <xf numFmtId="0" fontId="3" fillId="0" borderId="21" xfId="0" applyFont="1" applyBorder="1" applyProtection="1">
      <alignment vertical="center"/>
      <protection locked="0"/>
    </xf>
    <xf numFmtId="0" fontId="7" fillId="0" borderId="73" xfId="5" applyFont="1" applyBorder="1" applyAlignment="1">
      <alignment vertical="center"/>
    </xf>
    <xf numFmtId="0" fontId="3" fillId="0" borderId="74" xfId="0" applyFont="1" applyBorder="1" applyProtection="1">
      <alignment vertical="center"/>
      <protection locked="0"/>
    </xf>
    <xf numFmtId="0" fontId="3" fillId="0" borderId="75" xfId="0" applyFont="1" applyBorder="1" applyProtection="1">
      <alignment vertical="center"/>
      <protection locked="0"/>
    </xf>
    <xf numFmtId="4" fontId="7" fillId="0" borderId="7" xfId="2" applyNumberFormat="1" applyFont="1" applyBorder="1"/>
    <xf numFmtId="4" fontId="7" fillId="0" borderId="6" xfId="2" applyNumberFormat="1" applyFont="1" applyBorder="1"/>
    <xf numFmtId="0" fontId="5" fillId="0" borderId="0" xfId="2" applyFont="1" applyAlignment="1">
      <alignment horizontal="center"/>
    </xf>
    <xf numFmtId="0" fontId="8" fillId="0" borderId="1" xfId="2" applyFont="1" applyBorder="1" applyAlignment="1">
      <alignment horizontal="center" vertical="center"/>
    </xf>
    <xf numFmtId="0" fontId="9" fillId="0" borderId="1" xfId="2" applyFont="1" applyBorder="1" applyAlignment="1">
      <alignment horizontal="center" vertical="center"/>
    </xf>
    <xf numFmtId="0" fontId="7" fillId="0" borderId="2" xfId="2" applyFont="1" applyBorder="1" applyAlignment="1">
      <alignment horizontal="left" vertical="center"/>
    </xf>
    <xf numFmtId="0" fontId="7" fillId="0" borderId="3" xfId="2" applyFont="1" applyBorder="1" applyAlignment="1">
      <alignment horizontal="left" vertical="center"/>
    </xf>
    <xf numFmtId="0" fontId="7" fillId="0" borderId="4" xfId="2" applyFont="1" applyBorder="1" applyAlignment="1">
      <alignment horizontal="left" vertical="center"/>
    </xf>
    <xf numFmtId="0" fontId="3" fillId="0" borderId="7" xfId="2" applyBorder="1" applyProtection="1">
      <protection locked="0"/>
    </xf>
    <xf numFmtId="0" fontId="3" fillId="0" borderId="6" xfId="2" applyBorder="1" applyProtection="1">
      <protection locked="0"/>
    </xf>
    <xf numFmtId="0" fontId="8" fillId="0" borderId="0" xfId="2" applyFont="1" applyAlignment="1">
      <alignment horizontal="center" vertical="center"/>
    </xf>
    <xf numFmtId="0" fontId="9" fillId="0" borderId="0" xfId="2" applyFont="1" applyAlignment="1">
      <alignment horizontal="center" vertical="center"/>
    </xf>
    <xf numFmtId="38" fontId="7" fillId="0" borderId="7" xfId="1" applyFont="1" applyFill="1" applyBorder="1" applyAlignment="1"/>
    <xf numFmtId="38" fontId="7" fillId="0" borderId="6" xfId="1" applyFont="1" applyFill="1" applyBorder="1" applyAlignment="1"/>
    <xf numFmtId="0" fontId="7" fillId="0" borderId="2" xfId="2" applyFont="1" applyBorder="1" applyAlignment="1">
      <alignment horizontal="left" vertical="center" wrapText="1"/>
    </xf>
    <xf numFmtId="0" fontId="7" fillId="0" borderId="3" xfId="2" applyFont="1" applyBorder="1" applyAlignment="1">
      <alignment horizontal="left" vertical="center" wrapText="1"/>
    </xf>
    <xf numFmtId="0" fontId="7" fillId="0" borderId="4" xfId="2" applyFont="1" applyBorder="1" applyAlignment="1">
      <alignment horizontal="left" vertical="center" wrapText="1"/>
    </xf>
    <xf numFmtId="3" fontId="7" fillId="0" borderId="2" xfId="2" applyNumberFormat="1" applyFont="1" applyBorder="1" applyAlignment="1">
      <alignment horizontal="left" vertical="center" wrapText="1"/>
    </xf>
    <xf numFmtId="3" fontId="7" fillId="0" borderId="3" xfId="2" applyNumberFormat="1" applyFont="1" applyBorder="1" applyAlignment="1">
      <alignment horizontal="left" vertical="center" wrapText="1"/>
    </xf>
    <xf numFmtId="3" fontId="7" fillId="0" borderId="4" xfId="2" applyNumberFormat="1" applyFont="1" applyBorder="1" applyAlignment="1">
      <alignment horizontal="left" vertical="center" wrapText="1"/>
    </xf>
    <xf numFmtId="0" fontId="7" fillId="0" borderId="7" xfId="2" applyFont="1" applyBorder="1" applyAlignment="1">
      <alignment horizontal="center"/>
    </xf>
    <xf numFmtId="0" fontId="7" fillId="0" borderId="6" xfId="2" applyFont="1" applyBorder="1" applyAlignment="1">
      <alignment horizontal="center"/>
    </xf>
    <xf numFmtId="0" fontId="7" fillId="0" borderId="9" xfId="2" applyFont="1" applyBorder="1" applyAlignment="1">
      <alignment horizontal="center"/>
    </xf>
    <xf numFmtId="0" fontId="7" fillId="0" borderId="10" xfId="2" applyFont="1" applyBorder="1" applyAlignment="1">
      <alignment horizontal="left" vertical="center"/>
    </xf>
    <xf numFmtId="0" fontId="7" fillId="0" borderId="11" xfId="2" applyFont="1" applyBorder="1" applyAlignment="1">
      <alignment horizontal="left" vertical="center"/>
    </xf>
    <xf numFmtId="0" fontId="7" fillId="0" borderId="12" xfId="2" applyFont="1" applyBorder="1" applyAlignment="1">
      <alignment horizontal="left" vertical="center"/>
    </xf>
    <xf numFmtId="40" fontId="7" fillId="0" borderId="7" xfId="1" applyNumberFormat="1" applyFont="1" applyBorder="1" applyAlignment="1">
      <alignment horizontal="center"/>
    </xf>
    <xf numFmtId="40" fontId="7" fillId="0" borderId="6" xfId="1" applyNumberFormat="1" applyFont="1" applyBorder="1" applyAlignment="1">
      <alignment horizontal="center"/>
    </xf>
    <xf numFmtId="40" fontId="7" fillId="0" borderId="9" xfId="1" applyNumberFormat="1" applyFont="1" applyBorder="1" applyAlignment="1">
      <alignment horizontal="center"/>
    </xf>
    <xf numFmtId="38" fontId="7" fillId="0" borderId="7" xfId="1" applyFont="1" applyFill="1" applyBorder="1" applyAlignment="1">
      <alignment horizontal="center"/>
    </xf>
    <xf numFmtId="38" fontId="3" fillId="0" borderId="6" xfId="1" applyFont="1" applyFill="1" applyBorder="1" applyAlignment="1" applyProtection="1">
      <alignment horizontal="center"/>
      <protection locked="0"/>
    </xf>
    <xf numFmtId="38" fontId="3" fillId="0" borderId="9" xfId="1" applyFont="1" applyFill="1" applyBorder="1" applyAlignment="1" applyProtection="1">
      <alignment horizontal="center"/>
      <protection locked="0"/>
    </xf>
    <xf numFmtId="0" fontId="7" fillId="0" borderId="0" xfId="2" applyFont="1" applyAlignment="1">
      <alignment horizontal="center" vertical="center"/>
    </xf>
    <xf numFmtId="0" fontId="49" fillId="0" borderId="2" xfId="2" applyFont="1" applyBorder="1" applyAlignment="1">
      <alignment horizontal="right" vertical="center" wrapText="1"/>
    </xf>
    <xf numFmtId="0" fontId="49" fillId="0" borderId="3" xfId="2" applyFont="1" applyBorder="1" applyAlignment="1">
      <alignment horizontal="right" vertical="center" wrapText="1"/>
    </xf>
    <xf numFmtId="0" fontId="3" fillId="0" borderId="6" xfId="0" applyFont="1" applyBorder="1" applyAlignment="1" applyProtection="1">
      <alignment horizontal="center"/>
      <protection locked="0"/>
    </xf>
    <xf numFmtId="0" fontId="3" fillId="0" borderId="9" xfId="0" applyFont="1" applyBorder="1" applyAlignment="1" applyProtection="1">
      <alignment horizontal="center"/>
      <protection locked="0"/>
    </xf>
    <xf numFmtId="0" fontId="3" fillId="0" borderId="11" xfId="0" applyFont="1" applyBorder="1" applyAlignment="1" applyProtection="1">
      <alignment horizontal="left" vertical="center"/>
      <protection locked="0"/>
    </xf>
    <xf numFmtId="0" fontId="3" fillId="0" borderId="12" xfId="0" applyFont="1" applyBorder="1" applyAlignment="1" applyProtection="1">
      <alignment horizontal="left" vertical="center"/>
      <protection locked="0"/>
    </xf>
    <xf numFmtId="0" fontId="7" fillId="0" borderId="1" xfId="2" applyFont="1" applyBorder="1" applyAlignment="1">
      <alignment horizontal="center" vertical="center"/>
    </xf>
    <xf numFmtId="3" fontId="49" fillId="0" borderId="3" xfId="2" applyNumberFormat="1" applyFont="1" applyBorder="1" applyAlignment="1">
      <alignment horizontal="center" vertical="center" wrapText="1"/>
    </xf>
    <xf numFmtId="0" fontId="50" fillId="0" borderId="3" xfId="0" applyFont="1" applyBorder="1" applyAlignment="1" applyProtection="1">
      <alignment horizontal="left" vertical="center"/>
      <protection locked="0"/>
    </xf>
    <xf numFmtId="0" fontId="50" fillId="0" borderId="4" xfId="0" applyFont="1" applyBorder="1" applyAlignment="1" applyProtection="1">
      <alignment horizontal="left" vertical="center"/>
      <protection locked="0"/>
    </xf>
    <xf numFmtId="178" fontId="7" fillId="0" borderId="7" xfId="2" applyNumberFormat="1" applyFont="1" applyBorder="1" applyAlignment="1">
      <alignment horizontal="right"/>
    </xf>
    <xf numFmtId="178" fontId="7" fillId="0" borderId="9" xfId="2" applyNumberFormat="1" applyFont="1" applyBorder="1" applyAlignment="1">
      <alignment horizontal="right"/>
    </xf>
    <xf numFmtId="3" fontId="48" fillId="0" borderId="2" xfId="2" applyNumberFormat="1" applyFont="1" applyBorder="1" applyAlignment="1">
      <alignment horizontal="left" vertical="center" wrapText="1"/>
    </xf>
    <xf numFmtId="3" fontId="48" fillId="0" borderId="3" xfId="2" quotePrefix="1" applyNumberFormat="1" applyFont="1" applyBorder="1" applyAlignment="1">
      <alignment horizontal="left" vertical="center" wrapText="1"/>
    </xf>
    <xf numFmtId="3" fontId="48" fillId="0" borderId="4" xfId="2" quotePrefix="1" applyNumberFormat="1" applyFont="1" applyBorder="1" applyAlignment="1">
      <alignment horizontal="left" vertical="center" wrapText="1"/>
    </xf>
    <xf numFmtId="0" fontId="48" fillId="0" borderId="3" xfId="2" applyFont="1" applyBorder="1" applyAlignment="1">
      <alignment horizontal="center" vertical="center" shrinkToFit="1"/>
    </xf>
    <xf numFmtId="0" fontId="48" fillId="0" borderId="4" xfId="2" applyFont="1" applyBorder="1" applyAlignment="1">
      <alignment horizontal="center" vertical="center" shrinkToFit="1"/>
    </xf>
    <xf numFmtId="0" fontId="48" fillId="0" borderId="2" xfId="2" applyFont="1" applyBorder="1" applyAlignment="1">
      <alignment horizontal="center" vertical="center" wrapText="1"/>
    </xf>
    <xf numFmtId="0" fontId="48" fillId="0" borderId="3" xfId="2" applyFont="1" applyBorder="1" applyAlignment="1">
      <alignment horizontal="center" vertical="center" wrapText="1"/>
    </xf>
    <xf numFmtId="0" fontId="48" fillId="0" borderId="3" xfId="2" applyFont="1" applyBorder="1" applyAlignment="1">
      <alignment horizontal="left" vertical="center"/>
    </xf>
    <xf numFmtId="0" fontId="48" fillId="0" borderId="4" xfId="2" applyFont="1" applyBorder="1" applyAlignment="1">
      <alignment horizontal="left" vertical="center"/>
    </xf>
    <xf numFmtId="0" fontId="48" fillId="0" borderId="2" xfId="2" applyFont="1" applyBorder="1" applyAlignment="1">
      <alignment horizontal="left" vertical="center" wrapText="1"/>
    </xf>
    <xf numFmtId="0" fontId="48" fillId="0" borderId="3" xfId="2" applyFont="1" applyBorder="1" applyAlignment="1">
      <alignment horizontal="left" vertical="center" wrapText="1"/>
    </xf>
    <xf numFmtId="0" fontId="48" fillId="0" borderId="4" xfId="2" applyFont="1" applyBorder="1" applyAlignment="1">
      <alignment horizontal="left" vertical="center" wrapText="1"/>
    </xf>
    <xf numFmtId="180" fontId="7" fillId="0" borderId="7" xfId="2" applyNumberFormat="1" applyFont="1" applyBorder="1" applyAlignment="1">
      <alignment horizontal="center"/>
    </xf>
    <xf numFmtId="180" fontId="7" fillId="0" borderId="6" xfId="2" applyNumberFormat="1" applyFont="1" applyBorder="1" applyAlignment="1">
      <alignment horizontal="center"/>
    </xf>
    <xf numFmtId="180" fontId="7" fillId="0" borderId="9" xfId="2" applyNumberFormat="1" applyFont="1" applyBorder="1" applyAlignment="1">
      <alignment horizontal="center"/>
    </xf>
    <xf numFmtId="0" fontId="47" fillId="0" borderId="2" xfId="2" applyFont="1" applyBorder="1" applyAlignment="1">
      <alignment horizontal="left" vertical="center"/>
    </xf>
    <xf numFmtId="0" fontId="47" fillId="0" borderId="3" xfId="2" applyFont="1" applyBorder="1" applyAlignment="1">
      <alignment horizontal="left" vertical="center"/>
    </xf>
    <xf numFmtId="0" fontId="47" fillId="0" borderId="4" xfId="2" applyFont="1" applyBorder="1" applyAlignment="1">
      <alignment horizontal="left" vertical="center"/>
    </xf>
    <xf numFmtId="177" fontId="7" fillId="0" borderId="7" xfId="2" applyNumberFormat="1" applyFont="1" applyBorder="1" applyAlignment="1">
      <alignment horizontal="center"/>
    </xf>
    <xf numFmtId="177" fontId="3" fillId="0" borderId="6" xfId="0" applyNumberFormat="1" applyFont="1" applyBorder="1" applyAlignment="1" applyProtection="1">
      <alignment horizontal="center"/>
      <protection locked="0"/>
    </xf>
    <xf numFmtId="177" fontId="3" fillId="0" borderId="9" xfId="0" applyNumberFormat="1" applyFont="1" applyBorder="1" applyAlignment="1" applyProtection="1">
      <alignment horizontal="center"/>
      <protection locked="0"/>
    </xf>
    <xf numFmtId="0" fontId="48" fillId="0" borderId="2" xfId="2" applyFont="1" applyBorder="1" applyAlignment="1">
      <alignment horizontal="right" vertical="center"/>
    </xf>
    <xf numFmtId="0" fontId="48" fillId="0" borderId="3" xfId="2" applyFont="1" applyBorder="1" applyAlignment="1">
      <alignment horizontal="right" vertical="center"/>
    </xf>
    <xf numFmtId="0" fontId="48" fillId="0" borderId="3" xfId="2" quotePrefix="1" applyFont="1" applyBorder="1" applyAlignment="1">
      <alignment horizontal="left" vertical="center" wrapText="1"/>
    </xf>
    <xf numFmtId="0" fontId="5" fillId="0" borderId="1" xfId="2" applyFont="1" applyBorder="1" applyAlignment="1">
      <alignment horizontal="center" vertical="center"/>
    </xf>
    <xf numFmtId="0" fontId="48" fillId="0" borderId="3" xfId="2" applyFont="1" applyBorder="1" applyAlignment="1">
      <alignment horizontal="center" vertical="center"/>
    </xf>
    <xf numFmtId="2" fontId="7" fillId="0" borderId="7" xfId="2" applyNumberFormat="1" applyFont="1" applyBorder="1" applyAlignment="1">
      <alignment horizontal="center"/>
    </xf>
    <xf numFmtId="2" fontId="3" fillId="0" borderId="6" xfId="0" applyNumberFormat="1" applyFont="1" applyBorder="1" applyAlignment="1" applyProtection="1">
      <alignment horizontal="center"/>
      <protection locked="0"/>
    </xf>
    <xf numFmtId="0" fontId="48" fillId="0" borderId="10" xfId="2" applyFont="1" applyBorder="1" applyAlignment="1">
      <alignment horizontal="left" vertical="center"/>
    </xf>
    <xf numFmtId="0" fontId="12" fillId="0" borderId="11" xfId="0" applyFont="1" applyBorder="1" applyAlignment="1" applyProtection="1">
      <alignment horizontal="left" vertical="center"/>
      <protection locked="0"/>
    </xf>
    <xf numFmtId="0" fontId="12" fillId="0" borderId="12" xfId="0" applyFont="1" applyBorder="1" applyAlignment="1" applyProtection="1">
      <alignment horizontal="left" vertical="center"/>
      <protection locked="0"/>
    </xf>
    <xf numFmtId="0" fontId="47" fillId="0" borderId="2" xfId="2" applyFont="1" applyBorder="1" applyAlignment="1">
      <alignment horizontal="left" vertical="center" wrapText="1"/>
    </xf>
    <xf numFmtId="0" fontId="47" fillId="0" borderId="3" xfId="2" applyFont="1" applyBorder="1" applyAlignment="1">
      <alignment horizontal="left" vertical="center" wrapText="1"/>
    </xf>
    <xf numFmtId="0" fontId="47" fillId="0" borderId="4" xfId="2" applyFont="1" applyBorder="1" applyAlignment="1">
      <alignment horizontal="left" vertical="center" wrapText="1"/>
    </xf>
    <xf numFmtId="181" fontId="7" fillId="0" borderId="7" xfId="2" applyNumberFormat="1" applyFont="1" applyBorder="1" applyAlignment="1">
      <alignment horizontal="center"/>
    </xf>
    <xf numFmtId="181" fontId="3" fillId="0" borderId="6" xfId="0" applyNumberFormat="1" applyFont="1" applyBorder="1" applyAlignment="1" applyProtection="1">
      <alignment horizontal="center"/>
      <protection locked="0"/>
    </xf>
    <xf numFmtId="181" fontId="3" fillId="0" borderId="9" xfId="0" applyNumberFormat="1" applyFont="1" applyBorder="1" applyAlignment="1" applyProtection="1">
      <alignment horizontal="center"/>
      <protection locked="0"/>
    </xf>
    <xf numFmtId="3" fontId="5" fillId="0" borderId="1" xfId="2" applyNumberFormat="1" applyFont="1" applyBorder="1" applyAlignment="1">
      <alignment horizontal="center" vertical="center"/>
    </xf>
    <xf numFmtId="0" fontId="48" fillId="0" borderId="3" xfId="2" quotePrefix="1" applyFont="1" applyBorder="1" applyAlignment="1">
      <alignment horizontal="left" vertical="center"/>
    </xf>
    <xf numFmtId="0" fontId="7" fillId="0" borderId="5" xfId="3" applyFont="1" applyBorder="1" applyAlignment="1">
      <alignment horizontal="distributed" vertical="center"/>
    </xf>
    <xf numFmtId="0" fontId="7" fillId="0" borderId="6" xfId="3" applyFont="1" applyBorder="1" applyAlignment="1">
      <alignment horizontal="distributed" vertical="center"/>
    </xf>
    <xf numFmtId="0" fontId="7" fillId="0" borderId="9" xfId="3" applyFont="1" applyBorder="1" applyAlignment="1">
      <alignment horizontal="distributed" vertical="center"/>
    </xf>
    <xf numFmtId="0" fontId="5" fillId="0" borderId="0" xfId="3" applyFont="1" applyAlignment="1">
      <alignment horizontal="center"/>
    </xf>
    <xf numFmtId="0" fontId="7" fillId="0" borderId="2" xfId="3" applyFont="1" applyBorder="1" applyAlignment="1">
      <alignment horizontal="distributed" vertical="center"/>
    </xf>
    <xf numFmtId="0" fontId="7" fillId="0" borderId="3" xfId="3" applyFont="1" applyBorder="1" applyAlignment="1">
      <alignment horizontal="distributed" vertical="center"/>
    </xf>
    <xf numFmtId="0" fontId="7" fillId="0" borderId="16" xfId="3" applyFont="1" applyBorder="1" applyAlignment="1">
      <alignment horizontal="distributed" vertical="center"/>
    </xf>
    <xf numFmtId="0" fontId="7" fillId="0" borderId="18" xfId="3" applyFont="1" applyBorder="1" applyAlignment="1">
      <alignment horizontal="distributed" vertical="center"/>
    </xf>
    <xf numFmtId="0" fontId="7" fillId="0" borderId="4" xfId="3" applyFont="1" applyBorder="1" applyAlignment="1">
      <alignment horizontal="distributed" vertical="center"/>
    </xf>
    <xf numFmtId="0" fontId="7" fillId="0" borderId="20" xfId="3" applyFont="1" applyBorder="1" applyAlignment="1">
      <alignment horizontal="distributed" vertical="center"/>
    </xf>
    <xf numFmtId="0" fontId="7" fillId="0" borderId="21" xfId="3" applyFont="1" applyBorder="1" applyAlignment="1">
      <alignment horizontal="distributed" vertical="center"/>
    </xf>
    <xf numFmtId="0" fontId="7" fillId="0" borderId="25" xfId="3" applyFont="1" applyBorder="1" applyAlignment="1">
      <alignment horizontal="center" vertical="distributed" textRotation="255"/>
    </xf>
    <xf numFmtId="0" fontId="7" fillId="0" borderId="26" xfId="3" applyFont="1" applyBorder="1" applyAlignment="1">
      <alignment horizontal="distributed" vertical="center" wrapText="1"/>
    </xf>
    <xf numFmtId="0" fontId="7" fillId="0" borderId="27" xfId="3" applyFont="1" applyBorder="1" applyAlignment="1">
      <alignment horizontal="distributed" vertical="center"/>
    </xf>
    <xf numFmtId="0" fontId="7" fillId="0" borderId="28" xfId="3" applyFont="1" applyBorder="1" applyAlignment="1">
      <alignment horizontal="distributed" vertical="center"/>
    </xf>
    <xf numFmtId="0" fontId="7" fillId="0" borderId="27" xfId="3" applyFont="1" applyBorder="1" applyAlignment="1">
      <alignment horizontal="distributed" vertical="center" wrapText="1"/>
    </xf>
    <xf numFmtId="0" fontId="3" fillId="0" borderId="46" xfId="4" applyBorder="1" applyAlignment="1">
      <alignment horizontal="distributed" vertical="center"/>
    </xf>
    <xf numFmtId="0" fontId="3" fillId="0" borderId="47" xfId="4" applyBorder="1" applyAlignment="1">
      <alignment horizontal="distributed" vertical="center"/>
    </xf>
    <xf numFmtId="0" fontId="3" fillId="0" borderId="32" xfId="4" applyBorder="1" applyAlignment="1">
      <alignment horizontal="distributed" vertical="center"/>
    </xf>
    <xf numFmtId="0" fontId="6" fillId="0" borderId="0" xfId="4" applyFont="1" applyAlignment="1">
      <alignment horizontal="center"/>
    </xf>
    <xf numFmtId="0" fontId="3" fillId="0" borderId="0" xfId="0" applyFont="1" applyAlignment="1" applyProtection="1">
      <alignment horizontal="center"/>
      <protection locked="0"/>
    </xf>
    <xf numFmtId="0" fontId="3" fillId="0" borderId="33" xfId="4" applyBorder="1" applyAlignment="1">
      <alignment horizontal="distributed" vertical="center"/>
    </xf>
    <xf numFmtId="0" fontId="3" fillId="0" borderId="36" xfId="4" applyBorder="1" applyAlignment="1">
      <alignment horizontal="distributed" vertical="center"/>
    </xf>
    <xf numFmtId="0" fontId="3" fillId="0" borderId="2" xfId="4" applyBorder="1" applyAlignment="1">
      <alignment horizontal="distributed" vertical="center"/>
    </xf>
    <xf numFmtId="0" fontId="3" fillId="0" borderId="3" xfId="4" applyBorder="1" applyAlignment="1">
      <alignment horizontal="distributed" vertical="center"/>
    </xf>
    <xf numFmtId="0" fontId="3" fillId="0" borderId="34" xfId="4" applyBorder="1" applyAlignment="1">
      <alignment horizontal="distributed" vertical="center"/>
    </xf>
    <xf numFmtId="0" fontId="3" fillId="0" borderId="16" xfId="4" applyBorder="1" applyAlignment="1">
      <alignment horizontal="distributed" vertical="center"/>
    </xf>
    <xf numFmtId="0" fontId="3" fillId="0" borderId="35" xfId="4" applyBorder="1" applyAlignment="1">
      <alignment horizontal="distributed" vertical="center"/>
    </xf>
    <xf numFmtId="0" fontId="3" fillId="0" borderId="38" xfId="4" applyBorder="1" applyAlignment="1">
      <alignment horizontal="distributed" vertical="center"/>
    </xf>
    <xf numFmtId="0" fontId="3" fillId="0" borderId="10" xfId="4" applyBorder="1" applyAlignment="1">
      <alignment horizontal="distributed" vertical="center"/>
    </xf>
    <xf numFmtId="0" fontId="3" fillId="0" borderId="12" xfId="4" applyBorder="1" applyAlignment="1">
      <alignment horizontal="distributed" vertical="center"/>
    </xf>
    <xf numFmtId="0" fontId="3" fillId="0" borderId="13" xfId="4" applyBorder="1" applyAlignment="1">
      <alignment horizontal="distributed" vertical="center"/>
    </xf>
    <xf numFmtId="0" fontId="3" fillId="0" borderId="12" xfId="0" applyFont="1" applyBorder="1" applyAlignment="1" applyProtection="1">
      <alignment horizontal="distributed" vertical="center"/>
      <protection locked="0"/>
    </xf>
    <xf numFmtId="0" fontId="3" fillId="0" borderId="14" xfId="0" applyFont="1" applyBorder="1" applyAlignment="1" applyProtection="1">
      <alignment horizontal="distributed" vertical="center"/>
      <protection locked="0"/>
    </xf>
    <xf numFmtId="0" fontId="3" fillId="0" borderId="39" xfId="4" applyBorder="1" applyAlignment="1">
      <alignment horizontal="distributed" vertical="center"/>
    </xf>
    <xf numFmtId="0" fontId="3" fillId="0" borderId="45" xfId="4" applyBorder="1" applyAlignment="1">
      <alignment horizontal="distributed" vertical="center"/>
    </xf>
    <xf numFmtId="0" fontId="3" fillId="0" borderId="17" xfId="4" applyBorder="1" applyAlignment="1">
      <alignment horizontal="distributed" vertical="center"/>
    </xf>
    <xf numFmtId="0" fontId="12" fillId="0" borderId="18" xfId="4" applyFont="1" applyBorder="1" applyAlignment="1">
      <alignment horizontal="distributed" vertical="center"/>
    </xf>
    <xf numFmtId="0" fontId="12" fillId="0" borderId="4" xfId="0" applyFont="1" applyBorder="1" applyAlignment="1" applyProtection="1">
      <alignment horizontal="distributed" vertical="center"/>
      <protection locked="0"/>
    </xf>
    <xf numFmtId="38" fontId="3" fillId="0" borderId="5" xfId="1" applyFont="1" applyBorder="1" applyAlignment="1"/>
    <xf numFmtId="38" fontId="3" fillId="0" borderId="9" xfId="1" applyFont="1" applyBorder="1" applyAlignment="1" applyProtection="1">
      <protection locked="0"/>
    </xf>
    <xf numFmtId="3" fontId="3" fillId="0" borderId="7" xfId="4" applyNumberFormat="1" applyBorder="1"/>
    <xf numFmtId="0" fontId="3" fillId="0" borderId="9" xfId="0" applyFont="1" applyBorder="1" applyAlignment="1" applyProtection="1">
      <protection locked="0"/>
    </xf>
    <xf numFmtId="0" fontId="3" fillId="0" borderId="8" xfId="0" applyFont="1" applyBorder="1" applyAlignment="1" applyProtection="1">
      <protection locked="0"/>
    </xf>
    <xf numFmtId="0" fontId="3" fillId="0" borderId="49" xfId="4" applyBorder="1" applyAlignment="1">
      <alignment horizontal="distributed" vertical="center"/>
    </xf>
    <xf numFmtId="0" fontId="3" fillId="0" borderId="50" xfId="4" applyBorder="1" applyAlignment="1">
      <alignment horizontal="distributed" vertical="center"/>
    </xf>
    <xf numFmtId="0" fontId="14" fillId="0" borderId="51" xfId="4" applyFont="1" applyBorder="1" applyAlignment="1">
      <alignment horizontal="distributed" vertical="center"/>
    </xf>
    <xf numFmtId="0" fontId="3" fillId="0" borderId="16" xfId="0" applyFont="1" applyBorder="1" applyAlignment="1" applyProtection="1">
      <alignment horizontal="distributed" vertical="center"/>
      <protection locked="0"/>
    </xf>
    <xf numFmtId="0" fontId="14" fillId="0" borderId="18" xfId="4" applyFont="1" applyBorder="1" applyAlignment="1">
      <alignment horizontal="distributed" vertical="center"/>
    </xf>
    <xf numFmtId="0" fontId="3" fillId="0" borderId="16" xfId="4" applyBorder="1" applyAlignment="1" applyProtection="1">
      <alignment horizontal="distributed" vertical="center"/>
      <protection locked="0"/>
    </xf>
    <xf numFmtId="0" fontId="6" fillId="0" borderId="0" xfId="8" applyNumberFormat="1" applyFont="1" applyAlignment="1" applyProtection="1">
      <alignment horizontal="center"/>
      <protection locked="0"/>
    </xf>
    <xf numFmtId="182" fontId="3" fillId="0" borderId="39" xfId="8" applyBorder="1" applyAlignment="1">
      <alignment horizontal="center" vertical="center" textRotation="255" shrinkToFit="1"/>
    </xf>
    <xf numFmtId="182" fontId="3" fillId="0" borderId="59" xfId="8" applyBorder="1" applyAlignment="1">
      <alignment horizontal="center" vertical="center" textRotation="255" shrinkToFit="1"/>
    </xf>
    <xf numFmtId="182" fontId="3" fillId="0" borderId="49" xfId="8" applyBorder="1" applyAlignment="1">
      <alignment horizontal="center" vertical="center" textRotation="255" shrinkToFit="1"/>
    </xf>
    <xf numFmtId="182" fontId="3" fillId="0" borderId="122" xfId="8" applyBorder="1" applyAlignment="1">
      <alignment horizontal="center" vertical="center" textRotation="255" shrinkToFit="1"/>
    </xf>
    <xf numFmtId="182" fontId="3" fillId="0" borderId="123" xfId="8" applyBorder="1" applyAlignment="1">
      <alignment horizontal="center" vertical="center" textRotation="255" shrinkToFit="1"/>
    </xf>
    <xf numFmtId="182" fontId="3" fillId="0" borderId="124" xfId="8" applyBorder="1" applyAlignment="1">
      <alignment horizontal="center" vertical="center" textRotation="255" shrinkToFit="1"/>
    </xf>
    <xf numFmtId="0" fontId="3" fillId="0" borderId="126" xfId="8" applyNumberFormat="1" applyBorder="1" applyAlignment="1">
      <alignment horizontal="center" vertical="center" textRotation="255" shrinkToFit="1" readingOrder="1"/>
    </xf>
    <xf numFmtId="0" fontId="3" fillId="0" borderId="123" xfId="8" applyNumberFormat="1" applyBorder="1" applyAlignment="1">
      <alignment horizontal="center" vertical="center" textRotation="255" shrinkToFit="1" readingOrder="1"/>
    </xf>
    <xf numFmtId="0" fontId="3" fillId="0" borderId="124" xfId="8" applyNumberFormat="1" applyBorder="1" applyAlignment="1">
      <alignment horizontal="center" vertical="center" textRotation="255" shrinkToFit="1" readingOrder="1"/>
    </xf>
    <xf numFmtId="1" fontId="3" fillId="0" borderId="59" xfId="8" applyNumberFormat="1" applyBorder="1" applyAlignment="1">
      <alignment horizontal="center" vertical="center"/>
    </xf>
    <xf numFmtId="182" fontId="3" fillId="0" borderId="120" xfId="8" applyBorder="1" applyAlignment="1">
      <alignment horizontal="center" vertical="center"/>
    </xf>
    <xf numFmtId="182" fontId="3" fillId="0" borderId="117" xfId="8" applyBorder="1" applyAlignment="1">
      <alignment horizontal="center" vertical="center"/>
    </xf>
    <xf numFmtId="182" fontId="3" fillId="0" borderId="0" xfId="8" applyAlignment="1">
      <alignment horizontal="center" vertical="center"/>
    </xf>
    <xf numFmtId="182" fontId="3" fillId="0" borderId="51" xfId="8" applyBorder="1" applyAlignment="1">
      <alignment horizontal="center" vertical="center"/>
    </xf>
    <xf numFmtId="182" fontId="3" fillId="0" borderId="1" xfId="8" applyBorder="1" applyAlignment="1">
      <alignment horizontal="center" vertical="center"/>
    </xf>
    <xf numFmtId="182" fontId="3" fillId="0" borderId="0" xfId="8" applyAlignment="1">
      <alignment horizontal="center"/>
    </xf>
    <xf numFmtId="182" fontId="3" fillId="0" borderId="0" xfId="8" quotePrefix="1" applyAlignment="1">
      <alignment horizontal="center" vertical="center"/>
    </xf>
    <xf numFmtId="10" fontId="3" fillId="0" borderId="82" xfId="8" applyNumberFormat="1" applyBorder="1" applyAlignment="1">
      <alignment horizontal="center" vertical="center"/>
    </xf>
    <xf numFmtId="10" fontId="3" fillId="0" borderId="52" xfId="8" applyNumberFormat="1" applyBorder="1" applyAlignment="1">
      <alignment horizontal="center" vertical="center"/>
    </xf>
    <xf numFmtId="1" fontId="3" fillId="0" borderId="49" xfId="8" applyNumberFormat="1" applyBorder="1" applyAlignment="1">
      <alignment horizontal="center" vertical="center"/>
    </xf>
    <xf numFmtId="182" fontId="3" fillId="0" borderId="50" xfId="8" applyBorder="1" applyAlignment="1">
      <alignment horizontal="center" vertical="center"/>
    </xf>
    <xf numFmtId="0" fontId="3" fillId="0" borderId="87" xfId="10" applyFont="1" applyBorder="1" applyAlignment="1">
      <alignment horizontal="right" vertical="center" shrinkToFit="1"/>
    </xf>
    <xf numFmtId="0" fontId="3" fillId="0" borderId="91" xfId="10" applyFont="1" applyBorder="1" applyAlignment="1">
      <alignment horizontal="right" vertical="center" shrinkToFit="1"/>
    </xf>
    <xf numFmtId="1" fontId="3" fillId="0" borderId="118" xfId="8" applyNumberFormat="1" applyBorder="1" applyAlignment="1">
      <alignment horizontal="center"/>
    </xf>
    <xf numFmtId="182" fontId="3" fillId="0" borderId="104" xfId="8" applyBorder="1" applyAlignment="1">
      <alignment horizontal="center"/>
    </xf>
    <xf numFmtId="1" fontId="3" fillId="0" borderId="91" xfId="8" applyNumberFormat="1" applyBorder="1" applyAlignment="1">
      <alignment horizontal="center" vertical="center"/>
    </xf>
    <xf numFmtId="182" fontId="3" fillId="0" borderId="91" xfId="8" quotePrefix="1" applyBorder="1" applyAlignment="1">
      <alignment horizontal="center" vertical="center"/>
    </xf>
    <xf numFmtId="0" fontId="3" fillId="0" borderId="0" xfId="8" applyNumberFormat="1" applyAlignment="1" applyProtection="1">
      <alignment vertical="center"/>
      <protection locked="0"/>
    </xf>
    <xf numFmtId="197" fontId="3" fillId="0" borderId="83" xfId="10" applyNumberFormat="1" applyFont="1" applyBorder="1" applyAlignment="1">
      <alignment horizontal="right" vertical="center" shrinkToFit="1"/>
    </xf>
    <xf numFmtId="197" fontId="3" fillId="0" borderId="86" xfId="10" applyNumberFormat="1" applyFont="1" applyBorder="1" applyAlignment="1">
      <alignment horizontal="right" vertical="center" shrinkToFit="1"/>
    </xf>
    <xf numFmtId="198" fontId="3" fillId="0" borderId="107" xfId="10" applyNumberFormat="1" applyFont="1" applyBorder="1" applyAlignment="1">
      <alignment horizontal="center" vertical="center" shrinkToFit="1"/>
    </xf>
    <xf numFmtId="198" fontId="3" fillId="0" borderId="1" xfId="10" applyNumberFormat="1" applyFont="1" applyBorder="1" applyAlignment="1">
      <alignment horizontal="center" vertical="center" shrinkToFit="1"/>
    </xf>
    <xf numFmtId="198" fontId="3" fillId="0" borderId="50" xfId="10" applyNumberFormat="1" applyFont="1" applyBorder="1" applyAlignment="1">
      <alignment horizontal="center" vertical="center" shrinkToFit="1"/>
    </xf>
    <xf numFmtId="1" fontId="3" fillId="0" borderId="108" xfId="8" applyNumberFormat="1" applyBorder="1" applyAlignment="1">
      <alignment horizontal="center" vertical="center" wrapText="1"/>
    </xf>
    <xf numFmtId="182" fontId="3" fillId="0" borderId="113" xfId="8" applyBorder="1" applyAlignment="1">
      <alignment horizontal="center" vertical="center" wrapText="1"/>
    </xf>
    <xf numFmtId="182" fontId="3" fillId="0" borderId="116" xfId="8" applyBorder="1" applyAlignment="1">
      <alignment horizontal="center" vertical="center" wrapText="1"/>
    </xf>
    <xf numFmtId="1" fontId="3" fillId="0" borderId="109" xfId="8" applyNumberFormat="1" applyBorder="1" applyAlignment="1">
      <alignment vertical="center" textRotation="255"/>
    </xf>
    <xf numFmtId="182" fontId="3" fillId="0" borderId="27" xfId="8" applyBorder="1" applyAlignment="1">
      <alignment vertical="center" textRotation="255"/>
    </xf>
    <xf numFmtId="182" fontId="3" fillId="0" borderId="28" xfId="8" applyBorder="1" applyAlignment="1">
      <alignment vertical="center" textRotation="255"/>
    </xf>
    <xf numFmtId="1" fontId="3" fillId="0" borderId="111" xfId="8" applyNumberFormat="1" applyBorder="1" applyAlignment="1">
      <alignment horizontal="center" vertical="center"/>
    </xf>
    <xf numFmtId="1" fontId="3" fillId="0" borderId="23" xfId="8" applyNumberFormat="1" applyBorder="1" applyAlignment="1">
      <alignment horizontal="center" vertical="center"/>
    </xf>
    <xf numFmtId="37" fontId="3" fillId="0" borderId="61" xfId="8" applyNumberFormat="1" applyBorder="1" applyAlignment="1">
      <alignment horizontal="center" vertical="center" shrinkToFit="1"/>
    </xf>
    <xf numFmtId="37" fontId="3" fillId="0" borderId="99" xfId="8" applyNumberFormat="1" applyBorder="1" applyAlignment="1">
      <alignment horizontal="center" vertical="center" shrinkToFit="1"/>
    </xf>
    <xf numFmtId="37" fontId="3" fillId="0" borderId="17" xfId="8" applyNumberFormat="1" applyBorder="1" applyAlignment="1">
      <alignment horizontal="center" vertical="center" shrinkToFit="1"/>
    </xf>
    <xf numFmtId="37" fontId="3" fillId="0" borderId="30" xfId="8" applyNumberFormat="1" applyBorder="1" applyAlignment="1">
      <alignment horizontal="center" vertical="center" shrinkToFit="1"/>
    </xf>
    <xf numFmtId="37" fontId="3" fillId="0" borderId="45" xfId="8" applyNumberFormat="1" applyBorder="1" applyAlignment="1">
      <alignment horizontal="center" vertical="center" shrinkToFit="1"/>
    </xf>
    <xf numFmtId="37" fontId="3" fillId="0" borderId="100" xfId="8" applyNumberFormat="1" applyBorder="1" applyAlignment="1">
      <alignment horizontal="center" vertical="center" shrinkToFit="1"/>
    </xf>
    <xf numFmtId="37" fontId="3" fillId="0" borderId="101" xfId="8" applyNumberFormat="1" applyBorder="1" applyAlignment="1">
      <alignment horizontal="center" vertical="center" shrinkToFit="1"/>
    </xf>
    <xf numFmtId="37" fontId="3" fillId="0" borderId="102" xfId="8" applyNumberFormat="1" applyBorder="1" applyAlignment="1">
      <alignment horizontal="center" vertical="center" shrinkToFit="1"/>
    </xf>
    <xf numFmtId="182" fontId="3" fillId="0" borderId="18" xfId="8" applyBorder="1" applyAlignment="1">
      <alignment horizontal="center" vertical="center" shrinkToFit="1"/>
    </xf>
    <xf numFmtId="182" fontId="3" fillId="0" borderId="16" xfId="8" applyBorder="1" applyAlignment="1">
      <alignment horizontal="center" vertical="center" shrinkToFit="1"/>
    </xf>
    <xf numFmtId="37" fontId="3" fillId="0" borderId="18" xfId="8" applyNumberFormat="1" applyBorder="1" applyAlignment="1">
      <alignment horizontal="center" vertical="center" shrinkToFit="1"/>
    </xf>
    <xf numFmtId="37" fontId="3" fillId="0" borderId="4" xfId="8" applyNumberFormat="1" applyBorder="1" applyAlignment="1">
      <alignment horizontal="center" vertical="center" shrinkToFit="1"/>
    </xf>
    <xf numFmtId="1" fontId="3" fillId="0" borderId="26" xfId="8" applyNumberFormat="1" applyBorder="1" applyAlignment="1">
      <alignment vertical="center" textRotation="255"/>
    </xf>
    <xf numFmtId="1" fontId="3" fillId="0" borderId="60" xfId="8" applyNumberFormat="1" applyBorder="1" applyAlignment="1">
      <alignment horizontal="center" vertical="center"/>
    </xf>
    <xf numFmtId="199" fontId="3" fillId="0" borderId="54" xfId="8" applyNumberFormat="1" applyBorder="1" applyAlignment="1">
      <alignment horizontal="right" vertical="center"/>
    </xf>
    <xf numFmtId="199" fontId="3" fillId="0" borderId="55" xfId="8" applyNumberFormat="1" applyBorder="1" applyAlignment="1">
      <alignment horizontal="right" vertical="center"/>
    </xf>
    <xf numFmtId="0" fontId="14" fillId="0" borderId="83" xfId="0" applyFont="1" applyBorder="1">
      <alignment vertical="center"/>
    </xf>
    <xf numFmtId="0" fontId="14" fillId="0" borderId="84" xfId="0" applyFont="1" applyBorder="1">
      <alignment vertical="center"/>
    </xf>
    <xf numFmtId="0" fontId="14" fillId="0" borderId="65" xfId="0" applyFont="1" applyBorder="1">
      <alignment vertical="center"/>
    </xf>
    <xf numFmtId="0" fontId="14" fillId="3" borderId="65" xfId="0" applyFont="1" applyFill="1" applyBorder="1">
      <alignment vertical="center"/>
    </xf>
  </cellXfs>
  <cellStyles count="12">
    <cellStyle name="パーセント" xfId="6" builtinId="5"/>
    <cellStyle name="パーセント 2" xfId="11" xr:uid="{09D1C23F-197C-1B46-BF03-B24EA165B63C}"/>
    <cellStyle name="ハイパーリンク" xfId="7" builtinId="8"/>
    <cellStyle name="桁区切り" xfId="1" builtinId="6"/>
    <cellStyle name="桁区切り 2" xfId="9" xr:uid="{8AF3DF28-C57F-F446-8CF4-03D52EAB69E9}"/>
    <cellStyle name="標準" xfId="0" builtinId="0"/>
    <cellStyle name="標準 2" xfId="8" xr:uid="{6B6DAB77-1424-044F-91DF-C340A68ED455}"/>
    <cellStyle name="標準_説明書" xfId="2" xr:uid="{474E0BAC-C828-F748-8FD1-226D5AF7B908}"/>
    <cellStyle name="標準_総括表" xfId="3" xr:uid="{C6D1251A-EFF5-D748-A327-F41BA63B7A95}"/>
    <cellStyle name="標準_展開1" xfId="4" xr:uid="{39C80A21-8644-F743-AD30-D634C2FDDEA0}"/>
    <cellStyle name="標準_展開2" xfId="10" xr:uid="{B4332310-CEFA-E149-A540-515E147F4192}"/>
    <cellStyle name="標準_投資額" xfId="5" xr:uid="{E761AFD2-4490-A040-BA62-CE542B002E65}"/>
  </cellStyles>
  <dxfs count="0"/>
  <tableStyles count="0" defaultTableStyle="TableStyleMedium2" defaultPivotStyle="PivotStyleLight16"/>
  <colors>
    <mruColors>
      <color rgb="FFFF2F9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22/11/relationships/FeaturePropertyBag" Target="featurePropertyBag/featurePropertyBag.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baseline="0">
                <a:solidFill>
                  <a:schemeClr val="tx2"/>
                </a:solidFill>
                <a:latin typeface="Meiryo UI" panose="020B0604030504040204" pitchFamily="34" charset="-128"/>
                <a:ea typeface="Meiryo UI" panose="020B0604030504040204" pitchFamily="34" charset="-128"/>
                <a:cs typeface="+mn-cs"/>
              </a:defRPr>
            </a:pPr>
            <a:r>
              <a:rPr lang="ja-JP" sz="1400"/>
              <a:t>総原価構成比</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2"/>
              </a:solidFill>
              <a:latin typeface="Meiryo UI" panose="020B0604030504040204" pitchFamily="34" charset="-128"/>
              <a:ea typeface="Meiryo UI" panose="020B0604030504040204" pitchFamily="34" charset="-128"/>
              <a:cs typeface="+mn-cs"/>
            </a:defRPr>
          </a:pPr>
          <a:endParaRPr lang="ja-JP"/>
        </a:p>
      </c:txPr>
    </c:title>
    <c:autoTitleDeleted val="0"/>
    <c:plotArea>
      <c:layout/>
      <c:pieChart>
        <c:varyColors val="1"/>
        <c:ser>
          <c:idx val="0"/>
          <c:order val="0"/>
          <c:dPt>
            <c:idx val="0"/>
            <c:bubble3D val="0"/>
            <c:spPr>
              <a:gradFill rotWithShape="1">
                <a:gsLst>
                  <a:gs pos="0">
                    <a:schemeClr val="accent4">
                      <a:tint val="46000"/>
                      <a:satMod val="103000"/>
                      <a:lumMod val="102000"/>
                      <a:tint val="94000"/>
                    </a:schemeClr>
                  </a:gs>
                  <a:gs pos="50000">
                    <a:schemeClr val="accent4">
                      <a:tint val="46000"/>
                      <a:satMod val="110000"/>
                      <a:lumMod val="100000"/>
                      <a:shade val="100000"/>
                    </a:schemeClr>
                  </a:gs>
                  <a:gs pos="100000">
                    <a:schemeClr val="accent4">
                      <a:tint val="46000"/>
                      <a:lumMod val="99000"/>
                      <a:satMod val="120000"/>
                      <a:shade val="78000"/>
                    </a:schemeClr>
                  </a:gs>
                </a:gsLst>
                <a:lin ang="5400000" scaled="0"/>
              </a:gradFill>
              <a:ln>
                <a:noFill/>
              </a:ln>
              <a:effectLst/>
            </c:spPr>
            <c:extLst>
              <c:ext xmlns:c16="http://schemas.microsoft.com/office/drawing/2014/chart" uri="{C3380CC4-5D6E-409C-BE32-E72D297353CC}">
                <c16:uniqueId val="{00000001-889E-644B-B99B-15484D642A8E}"/>
              </c:ext>
            </c:extLst>
          </c:dPt>
          <c:dPt>
            <c:idx val="1"/>
            <c:bubble3D val="0"/>
            <c:spPr>
              <a:gradFill rotWithShape="1">
                <a:gsLst>
                  <a:gs pos="0">
                    <a:schemeClr val="accent4">
                      <a:tint val="62000"/>
                      <a:satMod val="103000"/>
                      <a:lumMod val="102000"/>
                      <a:tint val="94000"/>
                    </a:schemeClr>
                  </a:gs>
                  <a:gs pos="50000">
                    <a:schemeClr val="accent4">
                      <a:tint val="62000"/>
                      <a:satMod val="110000"/>
                      <a:lumMod val="100000"/>
                      <a:shade val="100000"/>
                    </a:schemeClr>
                  </a:gs>
                  <a:gs pos="100000">
                    <a:schemeClr val="accent4">
                      <a:tint val="62000"/>
                      <a:lumMod val="99000"/>
                      <a:satMod val="120000"/>
                      <a:shade val="78000"/>
                    </a:schemeClr>
                  </a:gs>
                </a:gsLst>
                <a:lin ang="5400000" scaled="0"/>
              </a:gradFill>
              <a:ln>
                <a:noFill/>
              </a:ln>
              <a:effectLst/>
            </c:spPr>
            <c:extLst>
              <c:ext xmlns:c16="http://schemas.microsoft.com/office/drawing/2014/chart" uri="{C3380CC4-5D6E-409C-BE32-E72D297353CC}">
                <c16:uniqueId val="{00000003-889E-644B-B99B-15484D642A8E}"/>
              </c:ext>
            </c:extLst>
          </c:dPt>
          <c:dPt>
            <c:idx val="2"/>
            <c:bubble3D val="0"/>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c:spPr>
            <c:extLst>
              <c:ext xmlns:c16="http://schemas.microsoft.com/office/drawing/2014/chart" uri="{C3380CC4-5D6E-409C-BE32-E72D297353CC}">
                <c16:uniqueId val="{00000005-889E-644B-B99B-15484D642A8E}"/>
              </c:ext>
            </c:extLst>
          </c:dPt>
          <c:dPt>
            <c:idx val="3"/>
            <c:bubble3D val="0"/>
            <c:spPr>
              <a:gradFill rotWithShape="1">
                <a:gsLst>
                  <a:gs pos="0">
                    <a:schemeClr val="accent4">
                      <a:tint val="93000"/>
                      <a:satMod val="103000"/>
                      <a:lumMod val="102000"/>
                      <a:tint val="94000"/>
                    </a:schemeClr>
                  </a:gs>
                  <a:gs pos="50000">
                    <a:schemeClr val="accent4">
                      <a:tint val="93000"/>
                      <a:satMod val="110000"/>
                      <a:lumMod val="100000"/>
                      <a:shade val="100000"/>
                    </a:schemeClr>
                  </a:gs>
                  <a:gs pos="100000">
                    <a:schemeClr val="accent4">
                      <a:tint val="93000"/>
                      <a:lumMod val="99000"/>
                      <a:satMod val="120000"/>
                      <a:shade val="78000"/>
                    </a:schemeClr>
                  </a:gs>
                </a:gsLst>
                <a:lin ang="5400000" scaled="0"/>
              </a:gradFill>
              <a:ln>
                <a:noFill/>
              </a:ln>
              <a:effectLst/>
            </c:spPr>
            <c:extLst>
              <c:ext xmlns:c16="http://schemas.microsoft.com/office/drawing/2014/chart" uri="{C3380CC4-5D6E-409C-BE32-E72D297353CC}">
                <c16:uniqueId val="{00000007-889E-644B-B99B-15484D642A8E}"/>
              </c:ext>
            </c:extLst>
          </c:dPt>
          <c:dPt>
            <c:idx val="4"/>
            <c:bubble3D val="0"/>
            <c:spPr>
              <a:gradFill rotWithShape="1">
                <a:gsLst>
                  <a:gs pos="0">
                    <a:schemeClr val="accent4">
                      <a:shade val="92000"/>
                      <a:satMod val="103000"/>
                      <a:lumMod val="102000"/>
                      <a:tint val="94000"/>
                    </a:schemeClr>
                  </a:gs>
                  <a:gs pos="50000">
                    <a:schemeClr val="accent4">
                      <a:shade val="92000"/>
                      <a:satMod val="110000"/>
                      <a:lumMod val="100000"/>
                      <a:shade val="100000"/>
                    </a:schemeClr>
                  </a:gs>
                  <a:gs pos="100000">
                    <a:schemeClr val="accent4">
                      <a:shade val="92000"/>
                      <a:lumMod val="99000"/>
                      <a:satMod val="120000"/>
                      <a:shade val="78000"/>
                    </a:schemeClr>
                  </a:gs>
                </a:gsLst>
                <a:lin ang="5400000" scaled="0"/>
              </a:gradFill>
              <a:ln>
                <a:noFill/>
              </a:ln>
              <a:effectLst/>
            </c:spPr>
            <c:extLst>
              <c:ext xmlns:c16="http://schemas.microsoft.com/office/drawing/2014/chart" uri="{C3380CC4-5D6E-409C-BE32-E72D297353CC}">
                <c16:uniqueId val="{00000009-889E-644B-B99B-15484D642A8E}"/>
              </c:ext>
            </c:extLst>
          </c:dPt>
          <c:dPt>
            <c:idx val="5"/>
            <c:bubble3D val="0"/>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c:spPr>
            <c:extLst>
              <c:ext xmlns:c16="http://schemas.microsoft.com/office/drawing/2014/chart" uri="{C3380CC4-5D6E-409C-BE32-E72D297353CC}">
                <c16:uniqueId val="{0000000B-889E-644B-B99B-15484D642A8E}"/>
              </c:ext>
            </c:extLst>
          </c:dPt>
          <c:dPt>
            <c:idx val="6"/>
            <c:bubble3D val="0"/>
            <c:spPr>
              <a:gradFill rotWithShape="1">
                <a:gsLst>
                  <a:gs pos="0">
                    <a:schemeClr val="accent4">
                      <a:shade val="61000"/>
                      <a:satMod val="103000"/>
                      <a:lumMod val="102000"/>
                      <a:tint val="94000"/>
                    </a:schemeClr>
                  </a:gs>
                  <a:gs pos="50000">
                    <a:schemeClr val="accent4">
                      <a:shade val="61000"/>
                      <a:satMod val="110000"/>
                      <a:lumMod val="100000"/>
                      <a:shade val="100000"/>
                    </a:schemeClr>
                  </a:gs>
                  <a:gs pos="100000">
                    <a:schemeClr val="accent4">
                      <a:shade val="61000"/>
                      <a:lumMod val="99000"/>
                      <a:satMod val="120000"/>
                      <a:shade val="78000"/>
                    </a:schemeClr>
                  </a:gs>
                </a:gsLst>
                <a:lin ang="5400000" scaled="0"/>
              </a:gradFill>
              <a:ln>
                <a:noFill/>
              </a:ln>
              <a:effectLst/>
            </c:spPr>
            <c:extLst>
              <c:ext xmlns:c16="http://schemas.microsoft.com/office/drawing/2014/chart" uri="{C3380CC4-5D6E-409C-BE32-E72D297353CC}">
                <c16:uniqueId val="{0000000D-889E-644B-B99B-15484D642A8E}"/>
              </c:ext>
            </c:extLst>
          </c:dPt>
          <c:dPt>
            <c:idx val="7"/>
            <c:bubble3D val="0"/>
            <c:spPr>
              <a:gradFill rotWithShape="1">
                <a:gsLst>
                  <a:gs pos="0">
                    <a:schemeClr val="accent4">
                      <a:shade val="45000"/>
                      <a:satMod val="103000"/>
                      <a:lumMod val="102000"/>
                      <a:tint val="94000"/>
                    </a:schemeClr>
                  </a:gs>
                  <a:gs pos="50000">
                    <a:schemeClr val="accent4">
                      <a:shade val="45000"/>
                      <a:satMod val="110000"/>
                      <a:lumMod val="100000"/>
                      <a:shade val="100000"/>
                    </a:schemeClr>
                  </a:gs>
                  <a:gs pos="100000">
                    <a:schemeClr val="accent4">
                      <a:shade val="45000"/>
                      <a:lumMod val="99000"/>
                      <a:satMod val="120000"/>
                      <a:shade val="78000"/>
                    </a:schemeClr>
                  </a:gs>
                </a:gsLst>
                <a:lin ang="5400000" scaled="0"/>
              </a:gradFill>
              <a:ln>
                <a:noFill/>
              </a:ln>
              <a:effectLst/>
            </c:spPr>
            <c:extLst>
              <c:ext xmlns:c16="http://schemas.microsoft.com/office/drawing/2014/chart" uri="{C3380CC4-5D6E-409C-BE32-E72D297353CC}">
                <c16:uniqueId val="{00000001-510E-BD40-A859-926314DFE291}"/>
              </c:ext>
            </c:extLst>
          </c:dPt>
          <c:dLbls>
            <c:numFmt formatCode="0.0%" sourceLinked="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eiryo UI" panose="020B0604030504040204" pitchFamily="34" charset="-128"/>
                    <a:ea typeface="Meiryo UI" panose="020B0604030504040204" pitchFamily="34" charset="-128"/>
                    <a:cs typeface="+mn-cs"/>
                  </a:defRPr>
                </a:pPr>
                <a:endParaRPr lang="ja-JP"/>
              </a:p>
            </c:txPr>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'2_a'!$P$9:$P$16</c:f>
              <c:strCache>
                <c:ptCount val="8"/>
                <c:pt idx="0">
                  <c:v>原料費</c:v>
                </c:pt>
                <c:pt idx="1">
                  <c:v>労務費</c:v>
                </c:pt>
                <c:pt idx="2">
                  <c:v>修繕費</c:v>
                </c:pt>
                <c:pt idx="3">
                  <c:v>租税課金</c:v>
                </c:pt>
                <c:pt idx="4">
                  <c:v>減価償却費</c:v>
                </c:pt>
                <c:pt idx="5">
                  <c:v>その他経費</c:v>
                </c:pt>
                <c:pt idx="6">
                  <c:v>事業報酬額</c:v>
                </c:pt>
                <c:pt idx="7">
                  <c:v>法人税等</c:v>
                </c:pt>
              </c:strCache>
            </c:strRef>
          </c:cat>
          <c:val>
            <c:numRef>
              <c:f>'2_a'!$Q$9:$Q$16</c:f>
              <c:numCache>
                <c:formatCode>0.0%</c:formatCode>
                <c:ptCount val="8"/>
                <c:pt idx="0">
                  <c:v>0.36071361319054807</c:v>
                </c:pt>
                <c:pt idx="1">
                  <c:v>0.26908734379863308</c:v>
                </c:pt>
                <c:pt idx="2">
                  <c:v>4.9285657920966661E-2</c:v>
                </c:pt>
                <c:pt idx="3">
                  <c:v>1.9051150282629332E-2</c:v>
                </c:pt>
                <c:pt idx="4">
                  <c:v>0.12207530358958135</c:v>
                </c:pt>
                <c:pt idx="5">
                  <c:v>0.12300783548848888</c:v>
                </c:pt>
                <c:pt idx="6">
                  <c:v>5.0617510310133895E-2</c:v>
                </c:pt>
                <c:pt idx="7">
                  <c:v>6.1615854190186694E-3</c:v>
                </c:pt>
              </c:numCache>
            </c:numRef>
          </c:val>
          <c:extLst>
            <c:ext xmlns:c16="http://schemas.microsoft.com/office/drawing/2014/chart" uri="{C3380CC4-5D6E-409C-BE32-E72D297353CC}">
              <c16:uniqueId val="{00000000-510E-BD40-A859-926314DFE291}"/>
            </c:ext>
          </c:extLst>
        </c:ser>
        <c:dLbls>
          <c:showLegendKey val="0"/>
          <c:showVal val="0"/>
          <c:showCatName val="1"/>
          <c:showSerName val="0"/>
          <c:showPercent val="1"/>
          <c:showBubbleSize val="0"/>
          <c:showLeaderLines val="1"/>
        </c:dLbls>
        <c:firstSliceAng val="3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b="0" i="0">
          <a:latin typeface="Meiryo UI" panose="020B0604030504040204" pitchFamily="34" charset="-128"/>
          <a:ea typeface="Meiryo UI" panose="020B0604030504040204" pitchFamily="34" charset="-128"/>
        </a:defRPr>
      </a:pPr>
      <a:endParaRPr lang="ja-JP"/>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eiryo UI" panose="020B0604030504040204" pitchFamily="34" charset="-128"/>
                <a:ea typeface="Meiryo UI" panose="020B0604030504040204" pitchFamily="34" charset="-128"/>
                <a:cs typeface="+mn-cs"/>
              </a:defRPr>
            </a:pPr>
            <a:r>
              <a:rPr lang="ja-JP"/>
              <a:t>機能別原価配分比率</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eiryo UI" panose="020B0604030504040204" pitchFamily="34" charset="-128"/>
              <a:ea typeface="Meiryo UI" panose="020B0604030504040204" pitchFamily="34" charset="-128"/>
              <a:cs typeface="+mn-cs"/>
            </a:defRPr>
          </a:pPr>
          <a:endParaRPr lang="ja-JP"/>
        </a:p>
      </c:txPr>
    </c:title>
    <c:autoTitleDeleted val="0"/>
    <c:plotArea>
      <c:layout/>
      <c:pieChart>
        <c:varyColors val="1"/>
        <c:ser>
          <c:idx val="0"/>
          <c:order val="0"/>
          <c:dPt>
            <c:idx val="0"/>
            <c:bubble3D val="0"/>
            <c:spPr>
              <a:solidFill>
                <a:schemeClr val="accent4">
                  <a:tint val="54000"/>
                </a:schemeClr>
              </a:solidFill>
              <a:ln w="19050">
                <a:solidFill>
                  <a:schemeClr val="lt1"/>
                </a:solidFill>
              </a:ln>
              <a:effectLst/>
            </c:spPr>
            <c:extLst>
              <c:ext xmlns:c16="http://schemas.microsoft.com/office/drawing/2014/chart" uri="{C3380CC4-5D6E-409C-BE32-E72D297353CC}">
                <c16:uniqueId val="{00000001-6F24-4F4D-A9D5-C2784C3EBEF9}"/>
              </c:ext>
            </c:extLst>
          </c:dPt>
          <c:dPt>
            <c:idx val="1"/>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3-6F24-4F4D-A9D5-C2784C3EBEF9}"/>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6F24-4F4D-A9D5-C2784C3EBEF9}"/>
              </c:ext>
            </c:extLst>
          </c:dPt>
          <c:dPt>
            <c:idx val="3"/>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7-6F24-4F4D-A9D5-C2784C3EBEF9}"/>
              </c:ext>
            </c:extLst>
          </c:dPt>
          <c:dPt>
            <c:idx val="4"/>
            <c:bubble3D val="0"/>
            <c:spPr>
              <a:solidFill>
                <a:schemeClr val="accent4">
                  <a:shade val="53000"/>
                </a:schemeClr>
              </a:solidFill>
              <a:ln w="19050">
                <a:solidFill>
                  <a:schemeClr val="lt1"/>
                </a:solidFill>
              </a:ln>
              <a:effectLst/>
            </c:spPr>
            <c:extLst>
              <c:ext xmlns:c16="http://schemas.microsoft.com/office/drawing/2014/chart" uri="{C3380CC4-5D6E-409C-BE32-E72D297353CC}">
                <c16:uniqueId val="{00000009-6F24-4F4D-A9D5-C2784C3EBEF9}"/>
              </c:ext>
            </c:extLst>
          </c:dPt>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eiryo UI" panose="020B0604030504040204" pitchFamily="34" charset="-128"/>
                    <a:ea typeface="Meiryo UI" panose="020B0604030504040204" pitchFamily="34" charset="-128"/>
                    <a:cs typeface="+mn-cs"/>
                  </a:defRPr>
                </a:pPr>
                <a:endParaRPr lang="ja-JP"/>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'2_b'!$Q$7:$Q$11</c:f>
              <c:strCache>
                <c:ptCount val="5"/>
                <c:pt idx="0">
                  <c:v>製造需要原価（固定）</c:v>
                </c:pt>
                <c:pt idx="1">
                  <c:v>製造需要原価（変動）</c:v>
                </c:pt>
                <c:pt idx="2">
                  <c:v>供給需要原価（固定）</c:v>
                </c:pt>
                <c:pt idx="3">
                  <c:v>供給需要原価（変動）</c:v>
                </c:pt>
                <c:pt idx="4">
                  <c:v>需要家原価</c:v>
                </c:pt>
              </c:strCache>
            </c:strRef>
          </c:cat>
          <c:val>
            <c:numRef>
              <c:f>'2_b'!$R$7:$R$11</c:f>
              <c:numCache>
                <c:formatCode>#,##0</c:formatCode>
                <c:ptCount val="5"/>
                <c:pt idx="0">
                  <c:v>2281788</c:v>
                </c:pt>
                <c:pt idx="1">
                  <c:v>12781377</c:v>
                </c:pt>
                <c:pt idx="2">
                  <c:v>8647304</c:v>
                </c:pt>
                <c:pt idx="3">
                  <c:v>526327</c:v>
                </c:pt>
                <c:pt idx="4">
                  <c:v>7647368</c:v>
                </c:pt>
              </c:numCache>
            </c:numRef>
          </c:val>
          <c:extLst>
            <c:ext xmlns:c16="http://schemas.microsoft.com/office/drawing/2014/chart" uri="{C3380CC4-5D6E-409C-BE32-E72D297353CC}">
              <c16:uniqueId val="{00000000-02A3-F545-8887-06B1B77B9432}"/>
            </c:ext>
          </c:extLst>
        </c:ser>
        <c:dLbls>
          <c:showLegendKey val="0"/>
          <c:showVal val="0"/>
          <c:showCatName val="1"/>
          <c:showSerName val="0"/>
          <c:showPercent val="1"/>
          <c:showBubbleSize val="0"/>
          <c:showLeaderLines val="1"/>
        </c:dLbls>
        <c:firstSliceAng val="3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atin typeface="Meiryo UI" panose="020B0604030504040204" pitchFamily="34" charset="-128"/>
          <a:ea typeface="Meiryo UI" panose="020B0604030504040204" pitchFamily="34" charset="-128"/>
        </a:defRPr>
      </a:pPr>
      <a:endParaRPr lang="ja-JP"/>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eiryo UI" panose="020B0604030504040204" pitchFamily="34" charset="-128"/>
                <a:ea typeface="Meiryo UI" panose="020B0604030504040204" pitchFamily="34" charset="-128"/>
                <a:cs typeface="+mn-cs"/>
              </a:defRPr>
            </a:pPr>
            <a:r>
              <a:rPr lang="ja-JP" altLang="en-US"/>
              <a:t>需要種別原価比率</a:t>
            </a:r>
            <a:endParaRPr lang="ja-JP"/>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eiryo UI" panose="020B0604030504040204" pitchFamily="34" charset="-128"/>
              <a:ea typeface="Meiryo UI" panose="020B0604030504040204" pitchFamily="34" charset="-128"/>
              <a:cs typeface="+mn-cs"/>
            </a:defRPr>
          </a:pPr>
          <a:endParaRPr lang="ja-JP"/>
        </a:p>
      </c:txPr>
    </c:title>
    <c:autoTitleDeleted val="0"/>
    <c:plotArea>
      <c:layout/>
      <c:pieChart>
        <c:varyColors val="1"/>
        <c:ser>
          <c:idx val="0"/>
          <c:order val="0"/>
          <c:dPt>
            <c:idx val="0"/>
            <c:bubble3D val="0"/>
            <c:spPr>
              <a:solidFill>
                <a:schemeClr val="accent4">
                  <a:tint val="65000"/>
                </a:schemeClr>
              </a:solidFill>
              <a:ln w="19050">
                <a:solidFill>
                  <a:schemeClr val="lt1"/>
                </a:solidFill>
              </a:ln>
              <a:effectLst/>
            </c:spPr>
            <c:extLst>
              <c:ext xmlns:c16="http://schemas.microsoft.com/office/drawing/2014/chart" uri="{C3380CC4-5D6E-409C-BE32-E72D297353CC}">
                <c16:uniqueId val="{00000001-DB9E-104E-B29F-FDE3D9D320B5}"/>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DB9E-104E-B29F-FDE3D9D320B5}"/>
              </c:ext>
            </c:extLst>
          </c:dPt>
          <c:dPt>
            <c:idx val="2"/>
            <c:bubble3D val="0"/>
            <c:spPr>
              <a:solidFill>
                <a:schemeClr val="accent4">
                  <a:shade val="65000"/>
                </a:schemeClr>
              </a:solidFill>
              <a:ln w="19050">
                <a:solidFill>
                  <a:schemeClr val="lt1"/>
                </a:solidFill>
              </a:ln>
              <a:effectLst/>
            </c:spPr>
            <c:extLst>
              <c:ext xmlns:c16="http://schemas.microsoft.com/office/drawing/2014/chart" uri="{C3380CC4-5D6E-409C-BE32-E72D297353CC}">
                <c16:uniqueId val="{00000005-DB9E-104E-B29F-FDE3D9D320B5}"/>
              </c:ext>
            </c:extLst>
          </c:dPt>
          <c:dLbls>
            <c:dLbl>
              <c:idx val="1"/>
              <c:layout>
                <c:manualLayout>
                  <c:x val="4.358576377952756E-2"/>
                  <c:y val="0.1133365110936563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B9E-104E-B29F-FDE3D9D320B5}"/>
                </c:ext>
              </c:extLst>
            </c:dLbl>
            <c:dLbl>
              <c:idx val="2"/>
              <c:layout>
                <c:manualLayout>
                  <c:x val="-3.2926236220472443E-2"/>
                  <c:y val="-2.40937048673575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B9E-104E-B29F-FDE3D9D320B5}"/>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eiryo UI" panose="020B0604030504040204" pitchFamily="34" charset="-128"/>
                    <a:ea typeface="Meiryo UI" panose="020B0604030504040204" pitchFamily="34" charset="-128"/>
                    <a:cs typeface="+mn-cs"/>
                  </a:defRPr>
                </a:pPr>
                <a:endParaRPr lang="ja-JP"/>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'2_b'!$Q$22:$Q$24</c:f>
              <c:strCache>
                <c:ptCount val="3"/>
                <c:pt idx="0">
                  <c:v>供給約款</c:v>
                </c:pt>
                <c:pt idx="1">
                  <c:v>非規制料金</c:v>
                </c:pt>
                <c:pt idx="2">
                  <c:v>特定大口</c:v>
                </c:pt>
              </c:strCache>
            </c:strRef>
          </c:cat>
          <c:val>
            <c:numRef>
              <c:f>'2_b'!$R$22:$R$24</c:f>
              <c:numCache>
                <c:formatCode>#,##0</c:formatCode>
                <c:ptCount val="3"/>
                <c:pt idx="0" formatCode="#,##0_);[Red]\(#,##0\)">
                  <c:v>30715365</c:v>
                </c:pt>
                <c:pt idx="1">
                  <c:v>0</c:v>
                </c:pt>
                <c:pt idx="2">
                  <c:v>1168799</c:v>
                </c:pt>
              </c:numCache>
            </c:numRef>
          </c:val>
          <c:extLst>
            <c:ext xmlns:c16="http://schemas.microsoft.com/office/drawing/2014/chart" uri="{C3380CC4-5D6E-409C-BE32-E72D297353CC}">
              <c16:uniqueId val="{0000000A-DB9E-104E-B29F-FDE3D9D320B5}"/>
            </c:ext>
          </c:extLst>
        </c:ser>
        <c:dLbls>
          <c:showLegendKey val="0"/>
          <c:showVal val="0"/>
          <c:showCatName val="1"/>
          <c:showSerName val="0"/>
          <c:showPercent val="1"/>
          <c:showBubbleSize val="0"/>
          <c:showLeaderLines val="1"/>
        </c:dLbls>
        <c:firstSliceAng val="45"/>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atin typeface="Meiryo UI" panose="020B0604030504040204" pitchFamily="34" charset="-128"/>
          <a:ea typeface="Meiryo UI" panose="020B0604030504040204" pitchFamily="34" charset="-128"/>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10</xdr:col>
      <xdr:colOff>346363</xdr:colOff>
      <xdr:row>22</xdr:row>
      <xdr:rowOff>46182</xdr:rowOff>
    </xdr:from>
    <xdr:to>
      <xdr:col>10</xdr:col>
      <xdr:colOff>692727</xdr:colOff>
      <xdr:row>22</xdr:row>
      <xdr:rowOff>427182</xdr:rowOff>
    </xdr:to>
    <xdr:sp macro="" textlink="">
      <xdr:nvSpPr>
        <xdr:cNvPr id="24" name="右矢印 23">
          <a:extLst>
            <a:ext uri="{FF2B5EF4-FFF2-40B4-BE49-F238E27FC236}">
              <a16:creationId xmlns:a16="http://schemas.microsoft.com/office/drawing/2014/main" id="{2054909A-DC86-FA8E-4D2C-0FEDC8638895}"/>
            </a:ext>
          </a:extLst>
        </xdr:cNvPr>
        <xdr:cNvSpPr/>
      </xdr:nvSpPr>
      <xdr:spPr>
        <a:xfrm>
          <a:off x="11984181" y="10194637"/>
          <a:ext cx="346364" cy="381000"/>
        </a:xfrm>
        <a:prstGeom prst="rightArrow">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9</xdr:col>
      <xdr:colOff>239890</xdr:colOff>
      <xdr:row>0</xdr:row>
      <xdr:rowOff>0</xdr:rowOff>
    </xdr:from>
    <xdr:to>
      <xdr:col>9</xdr:col>
      <xdr:colOff>1580444</xdr:colOff>
      <xdr:row>2</xdr:row>
      <xdr:rowOff>152655</xdr:rowOff>
    </xdr:to>
    <xdr:pic>
      <xdr:nvPicPr>
        <xdr:cNvPr id="3" name="図 2">
          <a:extLst>
            <a:ext uri="{FF2B5EF4-FFF2-40B4-BE49-F238E27FC236}">
              <a16:creationId xmlns:a16="http://schemas.microsoft.com/office/drawing/2014/main" id="{463CF0E1-65E3-7374-5FBF-D706992EB0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160001" y="0"/>
          <a:ext cx="1340554" cy="7312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20</xdr:row>
      <xdr:rowOff>9525</xdr:rowOff>
    </xdr:from>
    <xdr:to>
      <xdr:col>5</xdr:col>
      <xdr:colOff>0</xdr:colOff>
      <xdr:row>22</xdr:row>
      <xdr:rowOff>9525</xdr:rowOff>
    </xdr:to>
    <xdr:sp macro="" textlink="">
      <xdr:nvSpPr>
        <xdr:cNvPr id="2" name="Line 1">
          <a:extLst>
            <a:ext uri="{FF2B5EF4-FFF2-40B4-BE49-F238E27FC236}">
              <a16:creationId xmlns:a16="http://schemas.microsoft.com/office/drawing/2014/main" id="{4AB34E39-82CB-4742-BA0F-866D9CDB577E}"/>
            </a:ext>
          </a:extLst>
        </xdr:cNvPr>
        <xdr:cNvSpPr>
          <a:spLocks noChangeShapeType="1"/>
        </xdr:cNvSpPr>
      </xdr:nvSpPr>
      <xdr:spPr bwMode="auto">
        <a:xfrm>
          <a:off x="749300" y="6765925"/>
          <a:ext cx="1905000" cy="6858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11</xdr:row>
      <xdr:rowOff>0</xdr:rowOff>
    </xdr:from>
    <xdr:to>
      <xdr:col>5</xdr:col>
      <xdr:colOff>0</xdr:colOff>
      <xdr:row>13</xdr:row>
      <xdr:rowOff>0</xdr:rowOff>
    </xdr:to>
    <xdr:sp macro="" textlink="">
      <xdr:nvSpPr>
        <xdr:cNvPr id="3" name="Line 2">
          <a:extLst>
            <a:ext uri="{FF2B5EF4-FFF2-40B4-BE49-F238E27FC236}">
              <a16:creationId xmlns:a16="http://schemas.microsoft.com/office/drawing/2014/main" id="{64B15A6D-C0D1-4848-A8F9-C6FCE2B01E1D}"/>
            </a:ext>
          </a:extLst>
        </xdr:cNvPr>
        <xdr:cNvSpPr>
          <a:spLocks noChangeShapeType="1"/>
        </xdr:cNvSpPr>
      </xdr:nvSpPr>
      <xdr:spPr bwMode="auto">
        <a:xfrm>
          <a:off x="749300" y="3670300"/>
          <a:ext cx="1905000" cy="6858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0</xdr:colOff>
      <xdr:row>18</xdr:row>
      <xdr:rowOff>0</xdr:rowOff>
    </xdr:from>
    <xdr:to>
      <xdr:col>7</xdr:col>
      <xdr:colOff>555661</xdr:colOff>
      <xdr:row>18</xdr:row>
      <xdr:rowOff>209550</xdr:rowOff>
    </xdr:to>
    <xdr:sp macro="" textlink="">
      <xdr:nvSpPr>
        <xdr:cNvPr id="4" name="Text Box 13">
          <a:extLst>
            <a:ext uri="{FF2B5EF4-FFF2-40B4-BE49-F238E27FC236}">
              <a16:creationId xmlns:a16="http://schemas.microsoft.com/office/drawing/2014/main" id="{28CC31AB-A5DF-E648-9D4A-E390FE1FD68E}"/>
            </a:ext>
          </a:extLst>
        </xdr:cNvPr>
        <xdr:cNvSpPr txBox="1">
          <a:spLocks noChangeArrowheads="1"/>
        </xdr:cNvSpPr>
      </xdr:nvSpPr>
      <xdr:spPr bwMode="auto">
        <a:xfrm>
          <a:off x="4889500" y="6070600"/>
          <a:ext cx="555661" cy="209550"/>
        </a:xfrm>
        <a:prstGeom prst="rect">
          <a:avLst/>
        </a:prstGeom>
        <a:noFill/>
        <a:ln w="9525">
          <a:noFill/>
          <a:miter lim="800000"/>
          <a:headEnd/>
          <a:tailEnd/>
        </a:ln>
      </xdr:spPr>
      <xdr:txBody>
        <a:bodyPr vertOverflow="clip" wrap="square" lIns="27432" tIns="18288" rIns="0" bIns="0" anchor="t" upright="1"/>
        <a:lstStyle/>
        <a:p>
          <a:pPr algn="l" rtl="0">
            <a:defRPr sz="1000"/>
          </a:pPr>
          <a:r>
            <a:rPr lang="en-US" altLang="ja-JP" sz="1200" b="0" i="0" u="none" strike="noStrike" baseline="0">
              <a:solidFill>
                <a:srgbClr val="000000"/>
              </a:solidFill>
              <a:latin typeface="ＭＳ 明朝"/>
              <a:ea typeface="ＭＳ 明朝"/>
            </a:rPr>
            <a:t>(B①)</a:t>
          </a:r>
        </a:p>
      </xdr:txBody>
    </xdr:sp>
    <xdr:clientData/>
  </xdr:twoCellAnchor>
  <xdr:twoCellAnchor>
    <xdr:from>
      <xdr:col>5</xdr:col>
      <xdr:colOff>0</xdr:colOff>
      <xdr:row>6</xdr:row>
      <xdr:rowOff>3175</xdr:rowOff>
    </xdr:from>
    <xdr:to>
      <xdr:col>5</xdr:col>
      <xdr:colOff>498515</xdr:colOff>
      <xdr:row>6</xdr:row>
      <xdr:rowOff>232208</xdr:rowOff>
    </xdr:to>
    <xdr:sp macro="" textlink="">
      <xdr:nvSpPr>
        <xdr:cNvPr id="5" name="Text Box 18">
          <a:extLst>
            <a:ext uri="{FF2B5EF4-FFF2-40B4-BE49-F238E27FC236}">
              <a16:creationId xmlns:a16="http://schemas.microsoft.com/office/drawing/2014/main" id="{7580172A-AEB6-6B46-97DC-B99D0215B3BE}"/>
            </a:ext>
          </a:extLst>
        </xdr:cNvPr>
        <xdr:cNvSpPr txBox="1">
          <a:spLocks noChangeArrowheads="1"/>
        </xdr:cNvSpPr>
      </xdr:nvSpPr>
      <xdr:spPr bwMode="auto">
        <a:xfrm>
          <a:off x="2654300" y="1958975"/>
          <a:ext cx="498515" cy="229033"/>
        </a:xfrm>
        <a:prstGeom prst="rect">
          <a:avLst/>
        </a:prstGeom>
        <a:noFill/>
        <a:ln w="9525">
          <a:noFill/>
          <a:miter lim="800000"/>
          <a:headEnd/>
          <a:tailEnd/>
        </a:ln>
      </xdr:spPr>
      <xdr:txBody>
        <a:bodyPr vertOverflow="clip" wrap="square" lIns="27432" tIns="18288" rIns="0" bIns="0" anchor="t" upright="1"/>
        <a:lstStyle/>
        <a:p>
          <a:pPr algn="l" rtl="0">
            <a:defRPr sz="1000"/>
          </a:pPr>
          <a:r>
            <a:rPr lang="en-US" altLang="ja-JP" sz="1200" b="0" i="0" u="none" strike="noStrike" baseline="0">
              <a:solidFill>
                <a:srgbClr val="000000"/>
              </a:solidFill>
              <a:latin typeface="ＭＳ 明朝"/>
              <a:ea typeface="ＭＳ 明朝"/>
            </a:rPr>
            <a:t>(a2)</a:t>
          </a:r>
        </a:p>
      </xdr:txBody>
    </xdr:sp>
    <xdr:clientData/>
  </xdr:twoCellAnchor>
  <xdr:twoCellAnchor>
    <xdr:from>
      <xdr:col>1</xdr:col>
      <xdr:colOff>0</xdr:colOff>
      <xdr:row>6</xdr:row>
      <xdr:rowOff>0</xdr:rowOff>
    </xdr:from>
    <xdr:to>
      <xdr:col>2</xdr:col>
      <xdr:colOff>57270</xdr:colOff>
      <xdr:row>6</xdr:row>
      <xdr:rowOff>212816</xdr:rowOff>
    </xdr:to>
    <xdr:sp macro="" textlink="">
      <xdr:nvSpPr>
        <xdr:cNvPr id="6" name="Text Box 19">
          <a:extLst>
            <a:ext uri="{FF2B5EF4-FFF2-40B4-BE49-F238E27FC236}">
              <a16:creationId xmlns:a16="http://schemas.microsoft.com/office/drawing/2014/main" id="{A7C06062-AF07-1B4D-AB60-5E1D0C3BBA80}"/>
            </a:ext>
          </a:extLst>
        </xdr:cNvPr>
        <xdr:cNvSpPr txBox="1">
          <a:spLocks noChangeArrowheads="1"/>
        </xdr:cNvSpPr>
      </xdr:nvSpPr>
      <xdr:spPr bwMode="auto">
        <a:xfrm>
          <a:off x="317500" y="1955800"/>
          <a:ext cx="489070" cy="212816"/>
        </a:xfrm>
        <a:prstGeom prst="rect">
          <a:avLst/>
        </a:prstGeom>
        <a:noFill/>
        <a:ln w="9525">
          <a:noFill/>
          <a:miter lim="800000"/>
          <a:headEnd/>
          <a:tailEnd/>
        </a:ln>
      </xdr:spPr>
      <xdr:txBody>
        <a:bodyPr vertOverflow="clip" wrap="square" lIns="27432" tIns="18288" rIns="0" bIns="0" anchor="t" upright="1"/>
        <a:lstStyle/>
        <a:p>
          <a:pPr algn="l" rtl="0">
            <a:defRPr sz="1000"/>
          </a:pPr>
          <a:r>
            <a:rPr lang="en-US" altLang="ja-JP" sz="1200" b="0" i="0" u="none" strike="noStrike" baseline="0">
              <a:solidFill>
                <a:srgbClr val="000000"/>
              </a:solidFill>
              <a:latin typeface="ＭＳ 明朝"/>
              <a:ea typeface="ＭＳ 明朝"/>
            </a:rPr>
            <a:t>(a1)</a:t>
          </a:r>
        </a:p>
      </xdr:txBody>
    </xdr:sp>
    <xdr:clientData/>
  </xdr:twoCellAnchor>
  <xdr:twoCellAnchor>
    <xdr:from>
      <xdr:col>7</xdr:col>
      <xdr:colOff>0</xdr:colOff>
      <xdr:row>6</xdr:row>
      <xdr:rowOff>3175</xdr:rowOff>
    </xdr:from>
    <xdr:to>
      <xdr:col>7</xdr:col>
      <xdr:colOff>346132</xdr:colOff>
      <xdr:row>6</xdr:row>
      <xdr:rowOff>232208</xdr:rowOff>
    </xdr:to>
    <xdr:sp macro="" textlink="">
      <xdr:nvSpPr>
        <xdr:cNvPr id="7" name="Text Box 20">
          <a:extLst>
            <a:ext uri="{FF2B5EF4-FFF2-40B4-BE49-F238E27FC236}">
              <a16:creationId xmlns:a16="http://schemas.microsoft.com/office/drawing/2014/main" id="{0DD60621-489F-C84C-B0CE-E61853C346D1}"/>
            </a:ext>
          </a:extLst>
        </xdr:cNvPr>
        <xdr:cNvSpPr txBox="1">
          <a:spLocks noChangeArrowheads="1"/>
        </xdr:cNvSpPr>
      </xdr:nvSpPr>
      <xdr:spPr bwMode="auto">
        <a:xfrm>
          <a:off x="4889500" y="1958975"/>
          <a:ext cx="346132" cy="229033"/>
        </a:xfrm>
        <a:prstGeom prst="rect">
          <a:avLst/>
        </a:prstGeom>
        <a:noFill/>
        <a:ln w="9525">
          <a:noFill/>
          <a:miter lim="800000"/>
          <a:headEnd/>
          <a:tailEnd/>
        </a:ln>
      </xdr:spPr>
      <xdr:txBody>
        <a:bodyPr vertOverflow="clip" wrap="square" lIns="27432" tIns="18288" rIns="0" bIns="0" anchor="t" upright="1"/>
        <a:lstStyle/>
        <a:p>
          <a:pPr algn="l" rtl="0">
            <a:defRPr sz="1000"/>
          </a:pPr>
          <a:r>
            <a:rPr lang="en-US" altLang="ja-JP" sz="1200" b="0" i="0" u="none" strike="noStrike" baseline="0">
              <a:solidFill>
                <a:srgbClr val="000000"/>
              </a:solidFill>
              <a:latin typeface="ＭＳ 明朝"/>
              <a:ea typeface="ＭＳ 明朝"/>
            </a:rPr>
            <a:t>(A)</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9525</xdr:colOff>
      <xdr:row>6</xdr:row>
      <xdr:rowOff>9525</xdr:rowOff>
    </xdr:from>
    <xdr:to>
      <xdr:col>1</xdr:col>
      <xdr:colOff>542925</xdr:colOff>
      <xdr:row>6</xdr:row>
      <xdr:rowOff>263715</xdr:rowOff>
    </xdr:to>
    <xdr:sp macro="" textlink="">
      <xdr:nvSpPr>
        <xdr:cNvPr id="2" name="Text Box 44">
          <a:extLst>
            <a:ext uri="{FF2B5EF4-FFF2-40B4-BE49-F238E27FC236}">
              <a16:creationId xmlns:a16="http://schemas.microsoft.com/office/drawing/2014/main" id="{1C52BFB7-9F40-D34E-806D-1277499E8F94}"/>
            </a:ext>
          </a:extLst>
        </xdr:cNvPr>
        <xdr:cNvSpPr txBox="1">
          <a:spLocks noChangeArrowheads="1"/>
        </xdr:cNvSpPr>
      </xdr:nvSpPr>
      <xdr:spPr bwMode="auto">
        <a:xfrm>
          <a:off x="352425" y="1533525"/>
          <a:ext cx="533400" cy="254190"/>
        </a:xfrm>
        <a:prstGeom prst="rect">
          <a:avLst/>
        </a:prstGeom>
        <a:noFill/>
        <a:ln w="9525">
          <a:noFill/>
          <a:miter lim="800000"/>
          <a:headEnd/>
          <a:tailEnd/>
        </a:ln>
      </xdr:spPr>
      <xdr:txBody>
        <a:bodyPr vertOverflow="clip" wrap="square" lIns="27432" tIns="18288" rIns="0" bIns="0" anchor="t" upright="1"/>
        <a:lstStyle/>
        <a:p>
          <a:pPr algn="l" rtl="0">
            <a:defRPr sz="1000"/>
          </a:pPr>
          <a:r>
            <a:rPr lang="en-US" altLang="ja-JP" sz="1050" b="0" i="0" u="none" strike="noStrike" baseline="0">
              <a:solidFill>
                <a:srgbClr val="000000"/>
              </a:solidFill>
              <a:latin typeface="ＭＳ 明朝"/>
              <a:ea typeface="ＭＳ 明朝"/>
            </a:rPr>
            <a:t>(A)</a:t>
          </a:r>
        </a:p>
      </xdr:txBody>
    </xdr:sp>
    <xdr:clientData/>
  </xdr:twoCellAnchor>
  <xdr:twoCellAnchor>
    <xdr:from>
      <xdr:col>3</xdr:col>
      <xdr:colOff>9525</xdr:colOff>
      <xdr:row>6</xdr:row>
      <xdr:rowOff>0</xdr:rowOff>
    </xdr:from>
    <xdr:to>
      <xdr:col>3</xdr:col>
      <xdr:colOff>542925</xdr:colOff>
      <xdr:row>6</xdr:row>
      <xdr:rowOff>257175</xdr:rowOff>
    </xdr:to>
    <xdr:sp macro="" textlink="">
      <xdr:nvSpPr>
        <xdr:cNvPr id="3" name="Text Box 45">
          <a:extLst>
            <a:ext uri="{FF2B5EF4-FFF2-40B4-BE49-F238E27FC236}">
              <a16:creationId xmlns:a16="http://schemas.microsoft.com/office/drawing/2014/main" id="{4399F9B1-F064-3849-9E8B-23750CAA4C93}"/>
            </a:ext>
          </a:extLst>
        </xdr:cNvPr>
        <xdr:cNvSpPr txBox="1">
          <a:spLocks noChangeArrowheads="1"/>
        </xdr:cNvSpPr>
      </xdr:nvSpPr>
      <xdr:spPr bwMode="auto">
        <a:xfrm>
          <a:off x="2511425" y="1524000"/>
          <a:ext cx="533400" cy="257175"/>
        </a:xfrm>
        <a:prstGeom prst="rect">
          <a:avLst/>
        </a:prstGeom>
        <a:noFill/>
        <a:ln w="9525">
          <a:noFill/>
          <a:miter lim="800000"/>
          <a:headEnd/>
          <a:tailEnd/>
        </a:ln>
      </xdr:spPr>
      <xdr:txBody>
        <a:bodyPr vertOverflow="clip" wrap="square" lIns="27432" tIns="18288" rIns="0" bIns="0" anchor="t" upright="1"/>
        <a:lstStyle/>
        <a:p>
          <a:pPr algn="l" rtl="0">
            <a:defRPr sz="1000"/>
          </a:pPr>
          <a:r>
            <a:rPr lang="en-US" altLang="ja-JP" sz="1050" b="0" i="0" u="none" strike="noStrike" baseline="0">
              <a:solidFill>
                <a:srgbClr val="000000"/>
              </a:solidFill>
              <a:latin typeface="ＭＳ 明朝"/>
              <a:ea typeface="ＭＳ 明朝"/>
            </a:rPr>
            <a:t>(c1)</a:t>
          </a:r>
        </a:p>
      </xdr:txBody>
    </xdr:sp>
    <xdr:clientData/>
  </xdr:twoCellAnchor>
  <xdr:twoCellAnchor>
    <xdr:from>
      <xdr:col>6</xdr:col>
      <xdr:colOff>0</xdr:colOff>
      <xdr:row>6</xdr:row>
      <xdr:rowOff>0</xdr:rowOff>
    </xdr:from>
    <xdr:to>
      <xdr:col>6</xdr:col>
      <xdr:colOff>533400</xdr:colOff>
      <xdr:row>6</xdr:row>
      <xdr:rowOff>257175</xdr:rowOff>
    </xdr:to>
    <xdr:sp macro="" textlink="">
      <xdr:nvSpPr>
        <xdr:cNvPr id="4" name="Text Box 46">
          <a:extLst>
            <a:ext uri="{FF2B5EF4-FFF2-40B4-BE49-F238E27FC236}">
              <a16:creationId xmlns:a16="http://schemas.microsoft.com/office/drawing/2014/main" id="{545CC523-A583-F042-8BA7-EEBBAF132D2E}"/>
            </a:ext>
          </a:extLst>
        </xdr:cNvPr>
        <xdr:cNvSpPr txBox="1">
          <a:spLocks noChangeArrowheads="1"/>
        </xdr:cNvSpPr>
      </xdr:nvSpPr>
      <xdr:spPr bwMode="auto">
        <a:xfrm>
          <a:off x="5016500" y="1524000"/>
          <a:ext cx="533400" cy="257175"/>
        </a:xfrm>
        <a:prstGeom prst="rect">
          <a:avLst/>
        </a:prstGeom>
        <a:noFill/>
        <a:ln w="9525">
          <a:noFill/>
          <a:miter lim="800000"/>
          <a:headEnd/>
          <a:tailEnd/>
        </a:ln>
      </xdr:spPr>
      <xdr:txBody>
        <a:bodyPr vertOverflow="clip" wrap="square" lIns="27432" tIns="18288" rIns="0" bIns="0" anchor="t" upright="1"/>
        <a:lstStyle/>
        <a:p>
          <a:pPr algn="l" rtl="0">
            <a:defRPr sz="1000"/>
          </a:pPr>
          <a:r>
            <a:rPr lang="en-US" altLang="ja-JP" sz="1050" b="0" i="0" u="none" strike="noStrike" baseline="0">
              <a:solidFill>
                <a:srgbClr val="000000"/>
              </a:solidFill>
              <a:latin typeface="ＭＳ 明朝"/>
              <a:ea typeface="ＭＳ 明朝"/>
            </a:rPr>
            <a:t>(c2)</a:t>
          </a:r>
        </a:p>
      </xdr:txBody>
    </xdr:sp>
    <xdr:clientData/>
  </xdr:twoCellAnchor>
  <xdr:twoCellAnchor>
    <xdr:from>
      <xdr:col>1</xdr:col>
      <xdr:colOff>0</xdr:colOff>
      <xdr:row>9</xdr:row>
      <xdr:rowOff>9525</xdr:rowOff>
    </xdr:from>
    <xdr:to>
      <xdr:col>1</xdr:col>
      <xdr:colOff>533400</xdr:colOff>
      <xdr:row>9</xdr:row>
      <xdr:rowOff>225646</xdr:rowOff>
    </xdr:to>
    <xdr:sp macro="" textlink="">
      <xdr:nvSpPr>
        <xdr:cNvPr id="5" name="Text Box 49">
          <a:extLst>
            <a:ext uri="{FF2B5EF4-FFF2-40B4-BE49-F238E27FC236}">
              <a16:creationId xmlns:a16="http://schemas.microsoft.com/office/drawing/2014/main" id="{5A7FA232-5A86-D041-BF08-4539FD30C80D}"/>
            </a:ext>
          </a:extLst>
        </xdr:cNvPr>
        <xdr:cNvSpPr txBox="1">
          <a:spLocks noChangeArrowheads="1"/>
        </xdr:cNvSpPr>
      </xdr:nvSpPr>
      <xdr:spPr bwMode="auto">
        <a:xfrm>
          <a:off x="342900" y="2447925"/>
          <a:ext cx="533400" cy="216121"/>
        </a:xfrm>
        <a:prstGeom prst="rect">
          <a:avLst/>
        </a:prstGeom>
        <a:noFill/>
        <a:ln w="9525">
          <a:noFill/>
          <a:miter lim="800000"/>
          <a:headEnd/>
          <a:tailEnd/>
        </a:ln>
      </xdr:spPr>
      <xdr:txBody>
        <a:bodyPr vertOverflow="clip" wrap="square" lIns="27432" tIns="18288" rIns="0" bIns="0" anchor="t" upright="1"/>
        <a:lstStyle/>
        <a:p>
          <a:pPr algn="l" rtl="0">
            <a:defRPr sz="1000"/>
          </a:pPr>
          <a:r>
            <a:rPr lang="en-US" altLang="ja-JP" sz="1050" b="0" i="0" u="none" strike="noStrike" baseline="0">
              <a:solidFill>
                <a:srgbClr val="000000"/>
              </a:solidFill>
              <a:latin typeface="ＭＳ 明朝"/>
              <a:ea typeface="ＭＳ 明朝"/>
            </a:rPr>
            <a:t>(c3)</a:t>
          </a:r>
        </a:p>
      </xdr:txBody>
    </xdr:sp>
    <xdr:clientData/>
  </xdr:twoCellAnchor>
  <xdr:twoCellAnchor>
    <xdr:from>
      <xdr:col>3</xdr:col>
      <xdr:colOff>0</xdr:colOff>
      <xdr:row>9</xdr:row>
      <xdr:rowOff>0</xdr:rowOff>
    </xdr:from>
    <xdr:to>
      <xdr:col>3</xdr:col>
      <xdr:colOff>533400</xdr:colOff>
      <xdr:row>9</xdr:row>
      <xdr:rowOff>219075</xdr:rowOff>
    </xdr:to>
    <xdr:sp macro="" textlink="">
      <xdr:nvSpPr>
        <xdr:cNvPr id="6" name="Text Box 50">
          <a:extLst>
            <a:ext uri="{FF2B5EF4-FFF2-40B4-BE49-F238E27FC236}">
              <a16:creationId xmlns:a16="http://schemas.microsoft.com/office/drawing/2014/main" id="{91F79B27-3818-0744-B5C7-B661613899E8}"/>
            </a:ext>
          </a:extLst>
        </xdr:cNvPr>
        <xdr:cNvSpPr txBox="1">
          <a:spLocks noChangeArrowheads="1"/>
        </xdr:cNvSpPr>
      </xdr:nvSpPr>
      <xdr:spPr bwMode="auto">
        <a:xfrm>
          <a:off x="2501900" y="2438400"/>
          <a:ext cx="533400" cy="219075"/>
        </a:xfrm>
        <a:prstGeom prst="rect">
          <a:avLst/>
        </a:prstGeom>
        <a:noFill/>
        <a:ln w="9525">
          <a:noFill/>
          <a:miter lim="800000"/>
          <a:headEnd/>
          <a:tailEnd/>
        </a:ln>
      </xdr:spPr>
      <xdr:txBody>
        <a:bodyPr vertOverflow="clip" wrap="square" lIns="27432" tIns="18288" rIns="0" bIns="0" anchor="t" upright="1"/>
        <a:lstStyle/>
        <a:p>
          <a:pPr algn="l" rtl="0">
            <a:defRPr sz="1000"/>
          </a:pPr>
          <a:r>
            <a:rPr lang="en-US" altLang="ja-JP" sz="1050" b="0" i="0" u="none" strike="noStrike" baseline="0">
              <a:solidFill>
                <a:srgbClr val="000000"/>
              </a:solidFill>
              <a:latin typeface="ＭＳ 明朝"/>
              <a:ea typeface="ＭＳ 明朝"/>
            </a:rPr>
            <a:t>(c2)</a:t>
          </a:r>
        </a:p>
      </xdr:txBody>
    </xdr:sp>
    <xdr:clientData/>
  </xdr:twoCellAnchor>
  <xdr:twoCellAnchor>
    <xdr:from>
      <xdr:col>6</xdr:col>
      <xdr:colOff>0</xdr:colOff>
      <xdr:row>9</xdr:row>
      <xdr:rowOff>0</xdr:rowOff>
    </xdr:from>
    <xdr:to>
      <xdr:col>6</xdr:col>
      <xdr:colOff>533400</xdr:colOff>
      <xdr:row>9</xdr:row>
      <xdr:rowOff>219075</xdr:rowOff>
    </xdr:to>
    <xdr:sp macro="" textlink="">
      <xdr:nvSpPr>
        <xdr:cNvPr id="7" name="Text Box 51">
          <a:extLst>
            <a:ext uri="{FF2B5EF4-FFF2-40B4-BE49-F238E27FC236}">
              <a16:creationId xmlns:a16="http://schemas.microsoft.com/office/drawing/2014/main" id="{E6A1C07B-AE20-8B40-8E93-50D72F1C45FE}"/>
            </a:ext>
          </a:extLst>
        </xdr:cNvPr>
        <xdr:cNvSpPr txBox="1">
          <a:spLocks noChangeArrowheads="1"/>
        </xdr:cNvSpPr>
      </xdr:nvSpPr>
      <xdr:spPr bwMode="auto">
        <a:xfrm>
          <a:off x="5016500" y="2438400"/>
          <a:ext cx="533400" cy="219075"/>
        </a:xfrm>
        <a:prstGeom prst="rect">
          <a:avLst/>
        </a:prstGeom>
        <a:noFill/>
        <a:ln w="9525">
          <a:noFill/>
          <a:miter lim="800000"/>
          <a:headEnd/>
          <a:tailEnd/>
        </a:ln>
      </xdr:spPr>
      <xdr:txBody>
        <a:bodyPr vertOverflow="clip" wrap="square" lIns="27432" tIns="18288" rIns="0" bIns="0" anchor="t" upright="1"/>
        <a:lstStyle/>
        <a:p>
          <a:pPr algn="l" rtl="0">
            <a:defRPr sz="1000"/>
          </a:pPr>
          <a:r>
            <a:rPr lang="en-US" altLang="ja-JP" sz="1050" b="0" i="0" u="none" strike="noStrike" baseline="0">
              <a:solidFill>
                <a:srgbClr val="000000"/>
              </a:solidFill>
              <a:latin typeface="ＭＳ 明朝"/>
              <a:ea typeface="ＭＳ 明朝"/>
            </a:rPr>
            <a:t>(C)</a:t>
          </a:r>
        </a:p>
      </xdr:txBody>
    </xdr:sp>
    <xdr:clientData/>
  </xdr:twoCellAnchor>
  <xdr:twoCellAnchor>
    <xdr:from>
      <xdr:col>1</xdr:col>
      <xdr:colOff>3175</xdr:colOff>
      <xdr:row>13</xdr:row>
      <xdr:rowOff>12700</xdr:rowOff>
    </xdr:from>
    <xdr:to>
      <xdr:col>1</xdr:col>
      <xdr:colOff>539787</xdr:colOff>
      <xdr:row>13</xdr:row>
      <xdr:rowOff>238218</xdr:rowOff>
    </xdr:to>
    <xdr:sp macro="" textlink="">
      <xdr:nvSpPr>
        <xdr:cNvPr id="8" name="Text Box 58">
          <a:extLst>
            <a:ext uri="{FF2B5EF4-FFF2-40B4-BE49-F238E27FC236}">
              <a16:creationId xmlns:a16="http://schemas.microsoft.com/office/drawing/2014/main" id="{58B8C3B8-8DAF-CA48-9354-258F4C088B9A}"/>
            </a:ext>
          </a:extLst>
        </xdr:cNvPr>
        <xdr:cNvSpPr txBox="1">
          <a:spLocks noChangeArrowheads="1"/>
        </xdr:cNvSpPr>
      </xdr:nvSpPr>
      <xdr:spPr bwMode="auto">
        <a:xfrm>
          <a:off x="346075" y="3670300"/>
          <a:ext cx="536612" cy="225518"/>
        </a:xfrm>
        <a:prstGeom prst="rect">
          <a:avLst/>
        </a:prstGeom>
        <a:noFill/>
        <a:ln w="9525">
          <a:noFill/>
          <a:miter lim="800000"/>
          <a:headEnd/>
          <a:tailEnd/>
        </a:ln>
      </xdr:spPr>
      <xdr:txBody>
        <a:bodyPr vertOverflow="clip" wrap="square" lIns="27432" tIns="18288" rIns="0" bIns="0" anchor="t" upright="1"/>
        <a:lstStyle/>
        <a:p>
          <a:pPr algn="l" rtl="0">
            <a:defRPr sz="1000"/>
          </a:pPr>
          <a:r>
            <a:rPr lang="en-US" altLang="ja-JP" sz="1050" b="0" i="0" u="none" strike="noStrike" baseline="0">
              <a:solidFill>
                <a:srgbClr val="000000"/>
              </a:solidFill>
              <a:latin typeface="ＭＳ 明朝"/>
              <a:ea typeface="ＭＳ 明朝"/>
            </a:rPr>
            <a:t>(d1)</a:t>
          </a:r>
        </a:p>
      </xdr:txBody>
    </xdr:sp>
    <xdr:clientData/>
  </xdr:twoCellAnchor>
  <xdr:twoCellAnchor>
    <xdr:from>
      <xdr:col>3</xdr:col>
      <xdr:colOff>0</xdr:colOff>
      <xdr:row>13</xdr:row>
      <xdr:rowOff>0</xdr:rowOff>
    </xdr:from>
    <xdr:to>
      <xdr:col>3</xdr:col>
      <xdr:colOff>533400</xdr:colOff>
      <xdr:row>13</xdr:row>
      <xdr:rowOff>219075</xdr:rowOff>
    </xdr:to>
    <xdr:sp macro="" textlink="">
      <xdr:nvSpPr>
        <xdr:cNvPr id="9" name="Text Box 59">
          <a:extLst>
            <a:ext uri="{FF2B5EF4-FFF2-40B4-BE49-F238E27FC236}">
              <a16:creationId xmlns:a16="http://schemas.microsoft.com/office/drawing/2014/main" id="{52ACA0D1-E76E-5049-ADAA-87F8D0E0E412}"/>
            </a:ext>
          </a:extLst>
        </xdr:cNvPr>
        <xdr:cNvSpPr txBox="1">
          <a:spLocks noChangeArrowheads="1"/>
        </xdr:cNvSpPr>
      </xdr:nvSpPr>
      <xdr:spPr bwMode="auto">
        <a:xfrm>
          <a:off x="2501900" y="3657600"/>
          <a:ext cx="533400" cy="219075"/>
        </a:xfrm>
        <a:prstGeom prst="rect">
          <a:avLst/>
        </a:prstGeom>
        <a:noFill/>
        <a:ln w="9525">
          <a:noFill/>
          <a:miter lim="800000"/>
          <a:headEnd/>
          <a:tailEnd/>
        </a:ln>
      </xdr:spPr>
      <xdr:txBody>
        <a:bodyPr vertOverflow="clip" wrap="square" lIns="27432" tIns="18288" rIns="0" bIns="0" anchor="t" upright="1"/>
        <a:lstStyle/>
        <a:p>
          <a:pPr algn="l" rtl="0">
            <a:defRPr sz="1000"/>
          </a:pPr>
          <a:r>
            <a:rPr lang="en-US" altLang="ja-JP" sz="1050" b="0" i="0" u="none" strike="noStrike" baseline="0">
              <a:solidFill>
                <a:srgbClr val="000000"/>
              </a:solidFill>
              <a:latin typeface="ＭＳ 明朝"/>
              <a:ea typeface="ＭＳ 明朝"/>
            </a:rPr>
            <a:t>(d2)</a:t>
          </a:r>
        </a:p>
      </xdr:txBody>
    </xdr:sp>
    <xdr:clientData/>
  </xdr:twoCellAnchor>
  <xdr:twoCellAnchor>
    <xdr:from>
      <xdr:col>6</xdr:col>
      <xdr:colOff>0</xdr:colOff>
      <xdr:row>13</xdr:row>
      <xdr:rowOff>0</xdr:rowOff>
    </xdr:from>
    <xdr:to>
      <xdr:col>6</xdr:col>
      <xdr:colOff>533400</xdr:colOff>
      <xdr:row>13</xdr:row>
      <xdr:rowOff>219075</xdr:rowOff>
    </xdr:to>
    <xdr:sp macro="" textlink="">
      <xdr:nvSpPr>
        <xdr:cNvPr id="10" name="Text Box 60">
          <a:extLst>
            <a:ext uri="{FF2B5EF4-FFF2-40B4-BE49-F238E27FC236}">
              <a16:creationId xmlns:a16="http://schemas.microsoft.com/office/drawing/2014/main" id="{BA33961D-3411-4D43-B19D-D310862E946D}"/>
            </a:ext>
          </a:extLst>
        </xdr:cNvPr>
        <xdr:cNvSpPr txBox="1">
          <a:spLocks noChangeArrowheads="1"/>
        </xdr:cNvSpPr>
      </xdr:nvSpPr>
      <xdr:spPr bwMode="auto">
        <a:xfrm>
          <a:off x="5016500" y="3657600"/>
          <a:ext cx="533400" cy="219075"/>
        </a:xfrm>
        <a:prstGeom prst="rect">
          <a:avLst/>
        </a:prstGeom>
        <a:noFill/>
        <a:ln w="9525">
          <a:noFill/>
          <a:miter lim="800000"/>
          <a:headEnd/>
          <a:tailEnd/>
        </a:ln>
      </xdr:spPr>
      <xdr:txBody>
        <a:bodyPr vertOverflow="clip" wrap="square" lIns="27432" tIns="18288" rIns="0" bIns="0" anchor="t" upright="1"/>
        <a:lstStyle/>
        <a:p>
          <a:pPr algn="l" rtl="0">
            <a:defRPr sz="1000"/>
          </a:pPr>
          <a:r>
            <a:rPr lang="en-US" altLang="ja-JP" sz="1050" b="0" i="0" u="none" strike="noStrike" baseline="0">
              <a:solidFill>
                <a:srgbClr val="000000"/>
              </a:solidFill>
              <a:latin typeface="ＭＳ 明朝"/>
              <a:ea typeface="ＭＳ 明朝"/>
            </a:rPr>
            <a:t>(d3)</a:t>
          </a:r>
        </a:p>
      </xdr:txBody>
    </xdr:sp>
    <xdr:clientData/>
  </xdr:twoCellAnchor>
  <xdr:twoCellAnchor>
    <xdr:from>
      <xdr:col>0</xdr:col>
      <xdr:colOff>428623</xdr:colOff>
      <xdr:row>16</xdr:row>
      <xdr:rowOff>0</xdr:rowOff>
    </xdr:from>
    <xdr:to>
      <xdr:col>1</xdr:col>
      <xdr:colOff>628648</xdr:colOff>
      <xdr:row>16</xdr:row>
      <xdr:rowOff>219075</xdr:rowOff>
    </xdr:to>
    <xdr:sp macro="" textlink="">
      <xdr:nvSpPr>
        <xdr:cNvPr id="11" name="Text Box 62">
          <a:extLst>
            <a:ext uri="{FF2B5EF4-FFF2-40B4-BE49-F238E27FC236}">
              <a16:creationId xmlns:a16="http://schemas.microsoft.com/office/drawing/2014/main" id="{7CC70D4B-2180-2A4E-9E8A-51F8C7578432}"/>
            </a:ext>
          </a:extLst>
        </xdr:cNvPr>
        <xdr:cNvSpPr txBox="1">
          <a:spLocks noChangeArrowheads="1"/>
        </xdr:cNvSpPr>
      </xdr:nvSpPr>
      <xdr:spPr bwMode="auto">
        <a:xfrm>
          <a:off x="428623" y="4921250"/>
          <a:ext cx="644525" cy="219075"/>
        </a:xfrm>
        <a:prstGeom prst="rect">
          <a:avLst/>
        </a:prstGeom>
        <a:noFill/>
        <a:ln w="9525">
          <a:noFill/>
          <a:miter lim="800000"/>
          <a:headEnd/>
          <a:tailEnd/>
        </a:ln>
      </xdr:spPr>
      <xdr:txBody>
        <a:bodyPr vertOverflow="clip" wrap="square" lIns="27432" tIns="18288" rIns="0" bIns="0" anchor="t" upright="1"/>
        <a:lstStyle/>
        <a:p>
          <a:pPr algn="l" rtl="0">
            <a:defRPr sz="1000"/>
          </a:pPr>
          <a:r>
            <a:rPr lang="en-US" altLang="ja-JP" sz="1050" b="0" i="0" u="none" strike="noStrike" baseline="0">
              <a:solidFill>
                <a:srgbClr val="000000"/>
              </a:solidFill>
              <a:latin typeface="ＭＳ 明朝"/>
              <a:ea typeface="ＭＳ 明朝"/>
            </a:rPr>
            <a:t>(d4)</a:t>
          </a:r>
        </a:p>
      </xdr:txBody>
    </xdr:sp>
    <xdr:clientData/>
  </xdr:twoCellAnchor>
  <xdr:twoCellAnchor>
    <xdr:from>
      <xdr:col>3</xdr:col>
      <xdr:colOff>0</xdr:colOff>
      <xdr:row>16</xdr:row>
      <xdr:rowOff>0</xdr:rowOff>
    </xdr:from>
    <xdr:to>
      <xdr:col>3</xdr:col>
      <xdr:colOff>533400</xdr:colOff>
      <xdr:row>16</xdr:row>
      <xdr:rowOff>219075</xdr:rowOff>
    </xdr:to>
    <xdr:sp macro="" textlink="">
      <xdr:nvSpPr>
        <xdr:cNvPr id="12" name="Text Box 63">
          <a:extLst>
            <a:ext uri="{FF2B5EF4-FFF2-40B4-BE49-F238E27FC236}">
              <a16:creationId xmlns:a16="http://schemas.microsoft.com/office/drawing/2014/main" id="{04C6BAB7-50DC-E24A-974C-14F57F69C939}"/>
            </a:ext>
          </a:extLst>
        </xdr:cNvPr>
        <xdr:cNvSpPr txBox="1">
          <a:spLocks noChangeArrowheads="1"/>
        </xdr:cNvSpPr>
      </xdr:nvSpPr>
      <xdr:spPr bwMode="auto">
        <a:xfrm>
          <a:off x="2501900" y="4572000"/>
          <a:ext cx="533400" cy="219075"/>
        </a:xfrm>
        <a:prstGeom prst="rect">
          <a:avLst/>
        </a:prstGeom>
        <a:noFill/>
        <a:ln w="9525">
          <a:noFill/>
          <a:miter lim="800000"/>
          <a:headEnd/>
          <a:tailEnd/>
        </a:ln>
      </xdr:spPr>
      <xdr:txBody>
        <a:bodyPr vertOverflow="clip" wrap="square" lIns="27432" tIns="18288" rIns="0" bIns="0" anchor="t" upright="1"/>
        <a:lstStyle/>
        <a:p>
          <a:pPr algn="l" rtl="0">
            <a:defRPr sz="1000"/>
          </a:pPr>
          <a:r>
            <a:rPr lang="en-US" altLang="ja-JP" sz="1050" b="0" i="0" u="none" strike="noStrike" baseline="0">
              <a:solidFill>
                <a:srgbClr val="000000"/>
              </a:solidFill>
              <a:latin typeface="ＭＳ 明朝"/>
              <a:ea typeface="ＭＳ 明朝"/>
            </a:rPr>
            <a:t>(d3)</a:t>
          </a:r>
        </a:p>
      </xdr:txBody>
    </xdr:sp>
    <xdr:clientData/>
  </xdr:twoCellAnchor>
  <xdr:twoCellAnchor>
    <xdr:from>
      <xdr:col>6</xdr:col>
      <xdr:colOff>0</xdr:colOff>
      <xdr:row>16</xdr:row>
      <xdr:rowOff>0</xdr:rowOff>
    </xdr:from>
    <xdr:to>
      <xdr:col>6</xdr:col>
      <xdr:colOff>533400</xdr:colOff>
      <xdr:row>16</xdr:row>
      <xdr:rowOff>219075</xdr:rowOff>
    </xdr:to>
    <xdr:sp macro="" textlink="">
      <xdr:nvSpPr>
        <xdr:cNvPr id="13" name="Text Box 64">
          <a:extLst>
            <a:ext uri="{FF2B5EF4-FFF2-40B4-BE49-F238E27FC236}">
              <a16:creationId xmlns:a16="http://schemas.microsoft.com/office/drawing/2014/main" id="{5950F9AC-B34B-D54B-A79E-493ABFD03042}"/>
            </a:ext>
          </a:extLst>
        </xdr:cNvPr>
        <xdr:cNvSpPr txBox="1">
          <a:spLocks noChangeArrowheads="1"/>
        </xdr:cNvSpPr>
      </xdr:nvSpPr>
      <xdr:spPr bwMode="auto">
        <a:xfrm>
          <a:off x="5016500" y="4572000"/>
          <a:ext cx="533400" cy="219075"/>
        </a:xfrm>
        <a:prstGeom prst="rect">
          <a:avLst/>
        </a:prstGeom>
        <a:noFill/>
        <a:ln w="9525">
          <a:noFill/>
          <a:miter lim="800000"/>
          <a:headEnd/>
          <a:tailEnd/>
        </a:ln>
      </xdr:spPr>
      <xdr:txBody>
        <a:bodyPr vertOverflow="clip" wrap="square" lIns="27432" tIns="18288" rIns="0" bIns="0" anchor="t" upright="1"/>
        <a:lstStyle/>
        <a:p>
          <a:pPr algn="l" rtl="0">
            <a:defRPr sz="1000"/>
          </a:pPr>
          <a:r>
            <a:rPr lang="en-US" altLang="ja-JP" sz="1050" b="0" i="0" u="none" strike="noStrike" baseline="0">
              <a:solidFill>
                <a:srgbClr val="000000"/>
              </a:solidFill>
              <a:latin typeface="ＭＳ 明朝"/>
              <a:ea typeface="ＭＳ 明朝"/>
            </a:rPr>
            <a:t>(D)</a:t>
          </a:r>
        </a:p>
      </xdr:txBody>
    </xdr:sp>
    <xdr:clientData/>
  </xdr:twoCellAnchor>
  <xdr:twoCellAnchor>
    <xdr:from>
      <xdr:col>1</xdr:col>
      <xdr:colOff>3808</xdr:colOff>
      <xdr:row>19</xdr:row>
      <xdr:rowOff>277495</xdr:rowOff>
    </xdr:from>
    <xdr:to>
      <xdr:col>1</xdr:col>
      <xdr:colOff>1317639</xdr:colOff>
      <xdr:row>20</xdr:row>
      <xdr:rowOff>191770</xdr:rowOff>
    </xdr:to>
    <xdr:sp macro="" textlink="">
      <xdr:nvSpPr>
        <xdr:cNvPr id="14" name="Text Box 66">
          <a:extLst>
            <a:ext uri="{FF2B5EF4-FFF2-40B4-BE49-F238E27FC236}">
              <a16:creationId xmlns:a16="http://schemas.microsoft.com/office/drawing/2014/main" id="{C7419D0E-4057-6941-A32D-70F04DAE4BCB}"/>
            </a:ext>
          </a:extLst>
        </xdr:cNvPr>
        <xdr:cNvSpPr txBox="1">
          <a:spLocks noChangeArrowheads="1"/>
        </xdr:cNvSpPr>
      </xdr:nvSpPr>
      <xdr:spPr bwMode="auto">
        <a:xfrm>
          <a:off x="384808" y="6076315"/>
          <a:ext cx="1313831" cy="219075"/>
        </a:xfrm>
        <a:prstGeom prst="rect">
          <a:avLst/>
        </a:prstGeom>
        <a:noFill/>
        <a:ln w="9525">
          <a:noFill/>
          <a:miter lim="800000"/>
          <a:headEnd/>
          <a:tailEnd/>
        </a:ln>
      </xdr:spPr>
      <xdr:txBody>
        <a:bodyPr vertOverflow="clip" wrap="square" lIns="27432" tIns="18288" rIns="0" bIns="0" anchor="t" upright="1"/>
        <a:lstStyle/>
        <a:p>
          <a:pPr algn="l" rtl="0">
            <a:defRPr sz="1000"/>
          </a:pPr>
          <a:r>
            <a:rPr lang="en-US" altLang="ja-JP" sz="1050" b="0" i="0" u="none" strike="noStrike" baseline="0">
              <a:solidFill>
                <a:srgbClr val="000000"/>
              </a:solidFill>
              <a:latin typeface="ＭＳ 明朝"/>
              <a:ea typeface="ＭＳ 明朝"/>
            </a:rPr>
            <a:t>(B⑦-B④-B⑤)</a:t>
          </a:r>
        </a:p>
      </xdr:txBody>
    </xdr:sp>
    <xdr:clientData/>
  </xdr:twoCellAnchor>
  <xdr:twoCellAnchor>
    <xdr:from>
      <xdr:col>3</xdr:col>
      <xdr:colOff>0</xdr:colOff>
      <xdr:row>20</xdr:row>
      <xdr:rowOff>0</xdr:rowOff>
    </xdr:from>
    <xdr:to>
      <xdr:col>3</xdr:col>
      <xdr:colOff>536612</xdr:colOff>
      <xdr:row>20</xdr:row>
      <xdr:rowOff>219075</xdr:rowOff>
    </xdr:to>
    <xdr:sp macro="" textlink="">
      <xdr:nvSpPr>
        <xdr:cNvPr id="15" name="Text Box 67">
          <a:extLst>
            <a:ext uri="{FF2B5EF4-FFF2-40B4-BE49-F238E27FC236}">
              <a16:creationId xmlns:a16="http://schemas.microsoft.com/office/drawing/2014/main" id="{B09B594D-A36A-A345-B85E-0D3AE3010E07}"/>
            </a:ext>
          </a:extLst>
        </xdr:cNvPr>
        <xdr:cNvSpPr txBox="1">
          <a:spLocks noChangeArrowheads="1"/>
        </xdr:cNvSpPr>
      </xdr:nvSpPr>
      <xdr:spPr bwMode="auto">
        <a:xfrm>
          <a:off x="2501900" y="5791200"/>
          <a:ext cx="536612" cy="219075"/>
        </a:xfrm>
        <a:prstGeom prst="rect">
          <a:avLst/>
        </a:prstGeom>
        <a:noFill/>
        <a:ln w="9525">
          <a:noFill/>
          <a:miter lim="800000"/>
          <a:headEnd/>
          <a:tailEnd/>
        </a:ln>
      </xdr:spPr>
      <xdr:txBody>
        <a:bodyPr vertOverflow="clip" wrap="square" lIns="27432" tIns="18288" rIns="0" bIns="0" anchor="t" upright="1"/>
        <a:lstStyle/>
        <a:p>
          <a:pPr algn="l" rtl="0">
            <a:defRPr sz="1000"/>
          </a:pPr>
          <a:r>
            <a:rPr lang="en-US" altLang="ja-JP" sz="1050" b="0" i="0" u="none" strike="noStrike" baseline="0">
              <a:solidFill>
                <a:srgbClr val="000000"/>
              </a:solidFill>
              <a:latin typeface="ＭＳ 明朝"/>
              <a:ea typeface="ＭＳ 明朝"/>
            </a:rPr>
            <a:t>(e1)</a:t>
          </a:r>
        </a:p>
      </xdr:txBody>
    </xdr:sp>
    <xdr:clientData/>
  </xdr:twoCellAnchor>
  <xdr:twoCellAnchor>
    <xdr:from>
      <xdr:col>6</xdr:col>
      <xdr:colOff>0</xdr:colOff>
      <xdr:row>20</xdr:row>
      <xdr:rowOff>0</xdr:rowOff>
    </xdr:from>
    <xdr:to>
      <xdr:col>6</xdr:col>
      <xdr:colOff>536612</xdr:colOff>
      <xdr:row>20</xdr:row>
      <xdr:rowOff>219075</xdr:rowOff>
    </xdr:to>
    <xdr:sp macro="" textlink="">
      <xdr:nvSpPr>
        <xdr:cNvPr id="16" name="Text Box 68">
          <a:extLst>
            <a:ext uri="{FF2B5EF4-FFF2-40B4-BE49-F238E27FC236}">
              <a16:creationId xmlns:a16="http://schemas.microsoft.com/office/drawing/2014/main" id="{BC600320-8AD3-A345-83A9-C39EF1612ACF}"/>
            </a:ext>
          </a:extLst>
        </xdr:cNvPr>
        <xdr:cNvSpPr txBox="1">
          <a:spLocks noChangeArrowheads="1"/>
        </xdr:cNvSpPr>
      </xdr:nvSpPr>
      <xdr:spPr bwMode="auto">
        <a:xfrm>
          <a:off x="5016500" y="5791200"/>
          <a:ext cx="536612" cy="219075"/>
        </a:xfrm>
        <a:prstGeom prst="rect">
          <a:avLst/>
        </a:prstGeom>
        <a:noFill/>
        <a:ln w="9525">
          <a:noFill/>
          <a:miter lim="800000"/>
          <a:headEnd/>
          <a:tailEnd/>
        </a:ln>
      </xdr:spPr>
      <xdr:txBody>
        <a:bodyPr vertOverflow="clip" wrap="square" lIns="27432" tIns="18288" rIns="0" bIns="0" anchor="t" upright="1"/>
        <a:lstStyle/>
        <a:p>
          <a:pPr algn="l" rtl="0">
            <a:defRPr sz="1000"/>
          </a:pPr>
          <a:r>
            <a:rPr lang="en-US" altLang="ja-JP" sz="1050" b="0" i="0" u="none" strike="noStrike" baseline="0">
              <a:solidFill>
                <a:srgbClr val="000000"/>
              </a:solidFill>
              <a:latin typeface="ＭＳ 明朝"/>
              <a:ea typeface="ＭＳ 明朝"/>
            </a:rPr>
            <a:t>(E①)</a:t>
          </a:r>
        </a:p>
      </xdr:txBody>
    </xdr:sp>
    <xdr:clientData/>
  </xdr:twoCellAnchor>
  <xdr:twoCellAnchor>
    <xdr:from>
      <xdr:col>0</xdr:col>
      <xdr:colOff>428623</xdr:colOff>
      <xdr:row>23</xdr:row>
      <xdr:rowOff>0</xdr:rowOff>
    </xdr:from>
    <xdr:to>
      <xdr:col>1</xdr:col>
      <xdr:colOff>898523</xdr:colOff>
      <xdr:row>23</xdr:row>
      <xdr:rowOff>219075</xdr:rowOff>
    </xdr:to>
    <xdr:sp macro="" textlink="">
      <xdr:nvSpPr>
        <xdr:cNvPr id="17" name="Text Box 71">
          <a:extLst>
            <a:ext uri="{FF2B5EF4-FFF2-40B4-BE49-F238E27FC236}">
              <a16:creationId xmlns:a16="http://schemas.microsoft.com/office/drawing/2014/main" id="{15D676ED-560D-4346-8DE9-EB92A77A3F9D}"/>
            </a:ext>
          </a:extLst>
        </xdr:cNvPr>
        <xdr:cNvSpPr txBox="1">
          <a:spLocks noChangeArrowheads="1"/>
        </xdr:cNvSpPr>
      </xdr:nvSpPr>
      <xdr:spPr bwMode="auto">
        <a:xfrm>
          <a:off x="428623" y="7069667"/>
          <a:ext cx="914400" cy="219075"/>
        </a:xfrm>
        <a:prstGeom prst="rect">
          <a:avLst/>
        </a:prstGeom>
        <a:noFill/>
        <a:ln w="9525">
          <a:noFill/>
          <a:miter lim="800000"/>
          <a:headEnd/>
          <a:tailEnd/>
        </a:ln>
      </xdr:spPr>
      <xdr:txBody>
        <a:bodyPr vertOverflow="clip" wrap="square" lIns="27432" tIns="18288" rIns="0" bIns="0" anchor="t" upright="1"/>
        <a:lstStyle/>
        <a:p>
          <a:pPr algn="l" rtl="0">
            <a:defRPr sz="1000"/>
          </a:pPr>
          <a:r>
            <a:rPr lang="en-US" altLang="ja-JP" sz="1050" b="0" i="0" u="none" strike="noStrike" baseline="0">
              <a:solidFill>
                <a:srgbClr val="000000"/>
              </a:solidFill>
              <a:latin typeface="ＭＳ 明朝"/>
              <a:ea typeface="ＭＳ 明朝"/>
            </a:rPr>
            <a:t>(B④+B⑤)</a:t>
          </a:r>
        </a:p>
      </xdr:txBody>
    </xdr:sp>
    <xdr:clientData/>
  </xdr:twoCellAnchor>
  <xdr:twoCellAnchor>
    <xdr:from>
      <xdr:col>3</xdr:col>
      <xdr:colOff>0</xdr:colOff>
      <xdr:row>23</xdr:row>
      <xdr:rowOff>0</xdr:rowOff>
    </xdr:from>
    <xdr:to>
      <xdr:col>3</xdr:col>
      <xdr:colOff>536612</xdr:colOff>
      <xdr:row>23</xdr:row>
      <xdr:rowOff>219075</xdr:rowOff>
    </xdr:to>
    <xdr:sp macro="" textlink="">
      <xdr:nvSpPr>
        <xdr:cNvPr id="18" name="Text Box 72">
          <a:extLst>
            <a:ext uri="{FF2B5EF4-FFF2-40B4-BE49-F238E27FC236}">
              <a16:creationId xmlns:a16="http://schemas.microsoft.com/office/drawing/2014/main" id="{2613D97C-C268-0C47-B303-CB8D2CBB7E34}"/>
            </a:ext>
          </a:extLst>
        </xdr:cNvPr>
        <xdr:cNvSpPr txBox="1">
          <a:spLocks noChangeArrowheads="1"/>
        </xdr:cNvSpPr>
      </xdr:nvSpPr>
      <xdr:spPr bwMode="auto">
        <a:xfrm>
          <a:off x="2501900" y="6743700"/>
          <a:ext cx="536612" cy="219075"/>
        </a:xfrm>
        <a:prstGeom prst="rect">
          <a:avLst/>
        </a:prstGeom>
        <a:noFill/>
        <a:ln w="9525">
          <a:noFill/>
          <a:miter lim="800000"/>
          <a:headEnd/>
          <a:tailEnd/>
        </a:ln>
      </xdr:spPr>
      <xdr:txBody>
        <a:bodyPr vertOverflow="clip" wrap="square" lIns="27432" tIns="18288" rIns="0" bIns="0" anchor="t" upright="1"/>
        <a:lstStyle/>
        <a:p>
          <a:pPr algn="l" rtl="0">
            <a:defRPr sz="1000"/>
          </a:pPr>
          <a:r>
            <a:rPr lang="en-US" altLang="ja-JP" sz="1050" b="0" i="0" u="none" strike="noStrike" baseline="0">
              <a:solidFill>
                <a:srgbClr val="000000"/>
              </a:solidFill>
              <a:latin typeface="ＭＳ 明朝"/>
              <a:ea typeface="ＭＳ 明朝"/>
            </a:rPr>
            <a:t>(e2)</a:t>
          </a:r>
        </a:p>
      </xdr:txBody>
    </xdr:sp>
    <xdr:clientData/>
  </xdr:twoCellAnchor>
  <xdr:twoCellAnchor>
    <xdr:from>
      <xdr:col>6</xdr:col>
      <xdr:colOff>0</xdr:colOff>
      <xdr:row>23</xdr:row>
      <xdr:rowOff>0</xdr:rowOff>
    </xdr:from>
    <xdr:to>
      <xdr:col>6</xdr:col>
      <xdr:colOff>536612</xdr:colOff>
      <xdr:row>23</xdr:row>
      <xdr:rowOff>219075</xdr:rowOff>
    </xdr:to>
    <xdr:sp macro="" textlink="">
      <xdr:nvSpPr>
        <xdr:cNvPr id="19" name="Text Box 73">
          <a:extLst>
            <a:ext uri="{FF2B5EF4-FFF2-40B4-BE49-F238E27FC236}">
              <a16:creationId xmlns:a16="http://schemas.microsoft.com/office/drawing/2014/main" id="{00EE3AB5-5097-FC44-A444-D6A71139582D}"/>
            </a:ext>
          </a:extLst>
        </xdr:cNvPr>
        <xdr:cNvSpPr txBox="1">
          <a:spLocks noChangeArrowheads="1"/>
        </xdr:cNvSpPr>
      </xdr:nvSpPr>
      <xdr:spPr bwMode="auto">
        <a:xfrm>
          <a:off x="5016500" y="6743700"/>
          <a:ext cx="536612" cy="219075"/>
        </a:xfrm>
        <a:prstGeom prst="rect">
          <a:avLst/>
        </a:prstGeom>
        <a:noFill/>
        <a:ln w="9525">
          <a:noFill/>
          <a:miter lim="800000"/>
          <a:headEnd/>
          <a:tailEnd/>
        </a:ln>
      </xdr:spPr>
      <xdr:txBody>
        <a:bodyPr vertOverflow="clip" wrap="square" lIns="27432" tIns="18288" rIns="0" bIns="0" anchor="t" upright="1"/>
        <a:lstStyle/>
        <a:p>
          <a:pPr algn="l" rtl="0">
            <a:defRPr sz="1000"/>
          </a:pPr>
          <a:r>
            <a:rPr lang="en-US" altLang="ja-JP" sz="1050" b="0" i="0" u="none" strike="noStrike" baseline="0">
              <a:solidFill>
                <a:srgbClr val="000000"/>
              </a:solidFill>
              <a:latin typeface="ＭＳ 明朝"/>
              <a:ea typeface="ＭＳ 明朝"/>
            </a:rPr>
            <a:t>(E②)</a:t>
          </a:r>
        </a:p>
      </xdr:txBody>
    </xdr:sp>
    <xdr:clientData/>
  </xdr:twoCellAnchor>
  <xdr:twoCellAnchor>
    <xdr:from>
      <xdr:col>3</xdr:col>
      <xdr:colOff>0</xdr:colOff>
      <xdr:row>33</xdr:row>
      <xdr:rowOff>0</xdr:rowOff>
    </xdr:from>
    <xdr:to>
      <xdr:col>3</xdr:col>
      <xdr:colOff>536612</xdr:colOff>
      <xdr:row>33</xdr:row>
      <xdr:rowOff>219075</xdr:rowOff>
    </xdr:to>
    <xdr:sp macro="" textlink="">
      <xdr:nvSpPr>
        <xdr:cNvPr id="20" name="Text Box 76">
          <a:extLst>
            <a:ext uri="{FF2B5EF4-FFF2-40B4-BE49-F238E27FC236}">
              <a16:creationId xmlns:a16="http://schemas.microsoft.com/office/drawing/2014/main" id="{F23845AD-4590-584F-A3C4-65EFC3E0D158}"/>
            </a:ext>
          </a:extLst>
        </xdr:cNvPr>
        <xdr:cNvSpPr txBox="1">
          <a:spLocks noChangeArrowheads="1"/>
        </xdr:cNvSpPr>
      </xdr:nvSpPr>
      <xdr:spPr bwMode="auto">
        <a:xfrm>
          <a:off x="2501900" y="9766300"/>
          <a:ext cx="536612" cy="219075"/>
        </a:xfrm>
        <a:prstGeom prst="rect">
          <a:avLst/>
        </a:prstGeom>
        <a:noFill/>
        <a:ln w="9525">
          <a:noFill/>
          <a:miter lim="800000"/>
          <a:headEnd/>
          <a:tailEnd/>
        </a:ln>
      </xdr:spPr>
      <xdr:txBody>
        <a:bodyPr vertOverflow="clip" wrap="square" lIns="27432" tIns="18288" rIns="0" bIns="0" anchor="t" upright="1"/>
        <a:lstStyle/>
        <a:p>
          <a:pPr algn="l" rtl="0">
            <a:defRPr sz="1000"/>
          </a:pPr>
          <a:r>
            <a:rPr lang="en-US" altLang="ja-JP" sz="1200" b="0" i="0" u="none" strike="noStrike" baseline="0">
              <a:solidFill>
                <a:srgbClr val="000000"/>
              </a:solidFill>
              <a:latin typeface="ＭＳ 明朝"/>
              <a:ea typeface="ＭＳ 明朝"/>
            </a:rPr>
            <a:t>(f2)</a:t>
          </a:r>
        </a:p>
      </xdr:txBody>
    </xdr:sp>
    <xdr:clientData/>
  </xdr:twoCellAnchor>
  <xdr:twoCellAnchor>
    <xdr:from>
      <xdr:col>6</xdr:col>
      <xdr:colOff>0</xdr:colOff>
      <xdr:row>33</xdr:row>
      <xdr:rowOff>0</xdr:rowOff>
    </xdr:from>
    <xdr:to>
      <xdr:col>6</xdr:col>
      <xdr:colOff>536612</xdr:colOff>
      <xdr:row>33</xdr:row>
      <xdr:rowOff>219075</xdr:rowOff>
    </xdr:to>
    <xdr:sp macro="" textlink="">
      <xdr:nvSpPr>
        <xdr:cNvPr id="21" name="Text Box 77">
          <a:extLst>
            <a:ext uri="{FF2B5EF4-FFF2-40B4-BE49-F238E27FC236}">
              <a16:creationId xmlns:a16="http://schemas.microsoft.com/office/drawing/2014/main" id="{A1882A3A-DB2F-B84B-8E0E-3440A548E0B2}"/>
            </a:ext>
          </a:extLst>
        </xdr:cNvPr>
        <xdr:cNvSpPr txBox="1">
          <a:spLocks noChangeArrowheads="1"/>
        </xdr:cNvSpPr>
      </xdr:nvSpPr>
      <xdr:spPr bwMode="auto">
        <a:xfrm>
          <a:off x="5016500" y="9766300"/>
          <a:ext cx="536612" cy="219075"/>
        </a:xfrm>
        <a:prstGeom prst="rect">
          <a:avLst/>
        </a:prstGeom>
        <a:noFill/>
        <a:ln w="9525">
          <a:noFill/>
          <a:miter lim="800000"/>
          <a:headEnd/>
          <a:tailEnd/>
        </a:ln>
      </xdr:spPr>
      <xdr:txBody>
        <a:bodyPr vertOverflow="clip" wrap="square" lIns="27432" tIns="18288" rIns="0" bIns="0" anchor="t" upright="1"/>
        <a:lstStyle/>
        <a:p>
          <a:pPr algn="l" rtl="0">
            <a:defRPr sz="1000"/>
          </a:pPr>
          <a:r>
            <a:rPr lang="en-US" altLang="ja-JP" sz="1200" b="0" i="0" u="none" strike="noStrike" baseline="0">
              <a:solidFill>
                <a:srgbClr val="000000"/>
              </a:solidFill>
              <a:latin typeface="ＭＳ 明朝"/>
              <a:ea typeface="ＭＳ 明朝"/>
            </a:rPr>
            <a:t>(F①)</a:t>
          </a:r>
        </a:p>
      </xdr:txBody>
    </xdr:sp>
    <xdr:clientData/>
  </xdr:twoCellAnchor>
  <xdr:twoCellAnchor>
    <xdr:from>
      <xdr:col>0</xdr:col>
      <xdr:colOff>428623</xdr:colOff>
      <xdr:row>39</xdr:row>
      <xdr:rowOff>0</xdr:rowOff>
    </xdr:from>
    <xdr:to>
      <xdr:col>1</xdr:col>
      <xdr:colOff>574673</xdr:colOff>
      <xdr:row>39</xdr:row>
      <xdr:rowOff>219075</xdr:rowOff>
    </xdr:to>
    <xdr:sp macro="" textlink="">
      <xdr:nvSpPr>
        <xdr:cNvPr id="22" name="Text Box 83">
          <a:extLst>
            <a:ext uri="{FF2B5EF4-FFF2-40B4-BE49-F238E27FC236}">
              <a16:creationId xmlns:a16="http://schemas.microsoft.com/office/drawing/2014/main" id="{05761DA3-089D-BF4F-B202-A93B8799A9AC}"/>
            </a:ext>
          </a:extLst>
        </xdr:cNvPr>
        <xdr:cNvSpPr txBox="1">
          <a:spLocks noChangeArrowheads="1"/>
        </xdr:cNvSpPr>
      </xdr:nvSpPr>
      <xdr:spPr bwMode="auto">
        <a:xfrm>
          <a:off x="428623" y="12266083"/>
          <a:ext cx="590550" cy="219075"/>
        </a:xfrm>
        <a:prstGeom prst="rect">
          <a:avLst/>
        </a:prstGeom>
        <a:noFill/>
        <a:ln w="9525">
          <a:noFill/>
          <a:miter lim="800000"/>
          <a:headEnd/>
          <a:tailEnd/>
        </a:ln>
      </xdr:spPr>
      <xdr:txBody>
        <a:bodyPr vertOverflow="clip" wrap="square" lIns="27432" tIns="18288" rIns="0" bIns="0" anchor="t" upright="1"/>
        <a:lstStyle/>
        <a:p>
          <a:pPr algn="l" rtl="0">
            <a:defRPr sz="1000"/>
          </a:pPr>
          <a:r>
            <a:rPr lang="en-US" altLang="ja-JP" sz="1200" b="0" i="0" u="none" strike="noStrike" baseline="0">
              <a:solidFill>
                <a:srgbClr val="000000"/>
              </a:solidFill>
              <a:latin typeface="ＭＳ 明朝"/>
              <a:ea typeface="ＭＳ 明朝"/>
            </a:rPr>
            <a:t>(f4)</a:t>
          </a:r>
        </a:p>
      </xdr:txBody>
    </xdr:sp>
    <xdr:clientData/>
  </xdr:twoCellAnchor>
  <xdr:twoCellAnchor>
    <xdr:from>
      <xdr:col>3</xdr:col>
      <xdr:colOff>0</xdr:colOff>
      <xdr:row>39</xdr:row>
      <xdr:rowOff>0</xdr:rowOff>
    </xdr:from>
    <xdr:to>
      <xdr:col>3</xdr:col>
      <xdr:colOff>536612</xdr:colOff>
      <xdr:row>39</xdr:row>
      <xdr:rowOff>219075</xdr:rowOff>
    </xdr:to>
    <xdr:sp macro="" textlink="">
      <xdr:nvSpPr>
        <xdr:cNvPr id="23" name="Text Box 84">
          <a:extLst>
            <a:ext uri="{FF2B5EF4-FFF2-40B4-BE49-F238E27FC236}">
              <a16:creationId xmlns:a16="http://schemas.microsoft.com/office/drawing/2014/main" id="{F6A0030C-4800-2C4B-B008-40E83CC18FC4}"/>
            </a:ext>
          </a:extLst>
        </xdr:cNvPr>
        <xdr:cNvSpPr txBox="1">
          <a:spLocks noChangeArrowheads="1"/>
        </xdr:cNvSpPr>
      </xdr:nvSpPr>
      <xdr:spPr bwMode="auto">
        <a:xfrm>
          <a:off x="2501900" y="11811000"/>
          <a:ext cx="536612" cy="219075"/>
        </a:xfrm>
        <a:prstGeom prst="rect">
          <a:avLst/>
        </a:prstGeom>
        <a:noFill/>
        <a:ln w="9525">
          <a:noFill/>
          <a:miter lim="800000"/>
          <a:headEnd/>
          <a:tailEnd/>
        </a:ln>
      </xdr:spPr>
      <xdr:txBody>
        <a:bodyPr vertOverflow="clip" wrap="square" lIns="27432" tIns="18288" rIns="0" bIns="0" anchor="t" upright="1"/>
        <a:lstStyle/>
        <a:p>
          <a:pPr algn="l" rtl="0">
            <a:defRPr sz="1000"/>
          </a:pPr>
          <a:r>
            <a:rPr lang="en-US" altLang="ja-JP" sz="1200" b="0" i="0" u="none" strike="noStrike" baseline="0">
              <a:solidFill>
                <a:srgbClr val="000000"/>
              </a:solidFill>
              <a:latin typeface="ＭＳ 明朝"/>
              <a:ea typeface="ＭＳ 明朝"/>
            </a:rPr>
            <a:t>(f2)</a:t>
          </a:r>
        </a:p>
      </xdr:txBody>
    </xdr:sp>
    <xdr:clientData/>
  </xdr:twoCellAnchor>
  <xdr:twoCellAnchor>
    <xdr:from>
      <xdr:col>6</xdr:col>
      <xdr:colOff>0</xdr:colOff>
      <xdr:row>39</xdr:row>
      <xdr:rowOff>0</xdr:rowOff>
    </xdr:from>
    <xdr:to>
      <xdr:col>6</xdr:col>
      <xdr:colOff>536612</xdr:colOff>
      <xdr:row>39</xdr:row>
      <xdr:rowOff>219075</xdr:rowOff>
    </xdr:to>
    <xdr:sp macro="" textlink="">
      <xdr:nvSpPr>
        <xdr:cNvPr id="24" name="Text Box 85">
          <a:extLst>
            <a:ext uri="{FF2B5EF4-FFF2-40B4-BE49-F238E27FC236}">
              <a16:creationId xmlns:a16="http://schemas.microsoft.com/office/drawing/2014/main" id="{2CDBB391-7D4C-9042-B37D-9AEBF6DFB518}"/>
            </a:ext>
          </a:extLst>
        </xdr:cNvPr>
        <xdr:cNvSpPr txBox="1">
          <a:spLocks noChangeArrowheads="1"/>
        </xdr:cNvSpPr>
      </xdr:nvSpPr>
      <xdr:spPr bwMode="auto">
        <a:xfrm>
          <a:off x="5016500" y="11811000"/>
          <a:ext cx="536612" cy="219075"/>
        </a:xfrm>
        <a:prstGeom prst="rect">
          <a:avLst/>
        </a:prstGeom>
        <a:noFill/>
        <a:ln w="9525">
          <a:noFill/>
          <a:miter lim="800000"/>
          <a:headEnd/>
          <a:tailEnd/>
        </a:ln>
      </xdr:spPr>
      <xdr:txBody>
        <a:bodyPr vertOverflow="clip" wrap="square" lIns="27432" tIns="18288" rIns="0" bIns="0" anchor="t" upright="1"/>
        <a:lstStyle/>
        <a:p>
          <a:pPr algn="l" rtl="0">
            <a:defRPr sz="1000"/>
          </a:pPr>
          <a:r>
            <a:rPr lang="en-US" altLang="ja-JP" sz="1200" b="0" i="0" u="none" strike="noStrike" baseline="0">
              <a:solidFill>
                <a:srgbClr val="000000"/>
              </a:solidFill>
              <a:latin typeface="ＭＳ 明朝"/>
              <a:ea typeface="ＭＳ 明朝"/>
            </a:rPr>
            <a:t>(F②)</a:t>
          </a:r>
        </a:p>
      </xdr:txBody>
    </xdr:sp>
    <xdr:clientData/>
  </xdr:twoCellAnchor>
  <xdr:twoCellAnchor>
    <xdr:from>
      <xdr:col>1</xdr:col>
      <xdr:colOff>95248</xdr:colOff>
      <xdr:row>36</xdr:row>
      <xdr:rowOff>0</xdr:rowOff>
    </xdr:from>
    <xdr:to>
      <xdr:col>1</xdr:col>
      <xdr:colOff>746154</xdr:colOff>
      <xdr:row>36</xdr:row>
      <xdr:rowOff>219075</xdr:rowOff>
    </xdr:to>
    <xdr:sp macro="" textlink="">
      <xdr:nvSpPr>
        <xdr:cNvPr id="25" name="Text Box 86">
          <a:extLst>
            <a:ext uri="{FF2B5EF4-FFF2-40B4-BE49-F238E27FC236}">
              <a16:creationId xmlns:a16="http://schemas.microsoft.com/office/drawing/2014/main" id="{D0F967EA-D7D8-574D-BE3A-BD9DB6FD3E69}"/>
            </a:ext>
          </a:extLst>
        </xdr:cNvPr>
        <xdr:cNvSpPr txBox="1">
          <a:spLocks noChangeArrowheads="1"/>
        </xdr:cNvSpPr>
      </xdr:nvSpPr>
      <xdr:spPr bwMode="auto">
        <a:xfrm>
          <a:off x="539748" y="11250083"/>
          <a:ext cx="650906" cy="219075"/>
        </a:xfrm>
        <a:prstGeom prst="rect">
          <a:avLst/>
        </a:prstGeom>
        <a:noFill/>
        <a:ln w="9525">
          <a:noFill/>
          <a:miter lim="800000"/>
          <a:headEnd/>
          <a:tailEnd/>
        </a:ln>
      </xdr:spPr>
      <xdr:txBody>
        <a:bodyPr vertOverflow="clip" wrap="square" lIns="27432" tIns="18288" rIns="0" bIns="0" anchor="t" upright="1"/>
        <a:lstStyle/>
        <a:p>
          <a:pPr algn="l" rtl="0">
            <a:defRPr sz="1000"/>
          </a:pPr>
          <a:r>
            <a:rPr lang="en-US" altLang="ja-JP" sz="1200" b="0" i="0" u="none" strike="noStrike" baseline="0">
              <a:solidFill>
                <a:srgbClr val="000000"/>
              </a:solidFill>
              <a:latin typeface="ＭＳ 明朝"/>
              <a:ea typeface="ＭＳ 明朝"/>
            </a:rPr>
            <a:t>(B②)</a:t>
          </a:r>
        </a:p>
      </xdr:txBody>
    </xdr:sp>
    <xdr:clientData/>
  </xdr:twoCellAnchor>
  <xdr:twoCellAnchor>
    <xdr:from>
      <xdr:col>3</xdr:col>
      <xdr:colOff>0</xdr:colOff>
      <xdr:row>36</xdr:row>
      <xdr:rowOff>0</xdr:rowOff>
    </xdr:from>
    <xdr:to>
      <xdr:col>3</xdr:col>
      <xdr:colOff>536612</xdr:colOff>
      <xdr:row>36</xdr:row>
      <xdr:rowOff>219075</xdr:rowOff>
    </xdr:to>
    <xdr:sp macro="" textlink="">
      <xdr:nvSpPr>
        <xdr:cNvPr id="26" name="Text Box 87">
          <a:extLst>
            <a:ext uri="{FF2B5EF4-FFF2-40B4-BE49-F238E27FC236}">
              <a16:creationId xmlns:a16="http://schemas.microsoft.com/office/drawing/2014/main" id="{62F8C1BF-4D72-6844-93B3-B37FF229B708}"/>
            </a:ext>
          </a:extLst>
        </xdr:cNvPr>
        <xdr:cNvSpPr txBox="1">
          <a:spLocks noChangeArrowheads="1"/>
        </xdr:cNvSpPr>
      </xdr:nvSpPr>
      <xdr:spPr bwMode="auto">
        <a:xfrm>
          <a:off x="2501900" y="10807700"/>
          <a:ext cx="536612" cy="219075"/>
        </a:xfrm>
        <a:prstGeom prst="rect">
          <a:avLst/>
        </a:prstGeom>
        <a:noFill/>
        <a:ln w="9525">
          <a:noFill/>
          <a:miter lim="800000"/>
          <a:headEnd/>
          <a:tailEnd/>
        </a:ln>
      </xdr:spPr>
      <xdr:txBody>
        <a:bodyPr vertOverflow="clip" wrap="square" lIns="27432" tIns="18288" rIns="0" bIns="0" anchor="t" upright="1"/>
        <a:lstStyle/>
        <a:p>
          <a:pPr algn="l" rtl="0">
            <a:defRPr sz="1000"/>
          </a:pPr>
          <a:r>
            <a:rPr lang="en-US" altLang="ja-JP" sz="1200" b="0" i="0" u="none" strike="noStrike" baseline="0">
              <a:solidFill>
                <a:srgbClr val="000000"/>
              </a:solidFill>
              <a:latin typeface="ＭＳ 明朝"/>
              <a:ea typeface="ＭＳ 明朝"/>
            </a:rPr>
            <a:t>(B③)</a:t>
          </a:r>
        </a:p>
      </xdr:txBody>
    </xdr:sp>
    <xdr:clientData/>
  </xdr:twoCellAnchor>
  <xdr:twoCellAnchor>
    <xdr:from>
      <xdr:col>6</xdr:col>
      <xdr:colOff>0</xdr:colOff>
      <xdr:row>36</xdr:row>
      <xdr:rowOff>0</xdr:rowOff>
    </xdr:from>
    <xdr:to>
      <xdr:col>6</xdr:col>
      <xdr:colOff>419100</xdr:colOff>
      <xdr:row>36</xdr:row>
      <xdr:rowOff>228600</xdr:rowOff>
    </xdr:to>
    <xdr:sp macro="" textlink="">
      <xdr:nvSpPr>
        <xdr:cNvPr id="27" name="Text Box 88">
          <a:extLst>
            <a:ext uri="{FF2B5EF4-FFF2-40B4-BE49-F238E27FC236}">
              <a16:creationId xmlns:a16="http://schemas.microsoft.com/office/drawing/2014/main" id="{EBC3BC34-4726-6C49-8C0A-2C8F06D2C30F}"/>
            </a:ext>
          </a:extLst>
        </xdr:cNvPr>
        <xdr:cNvSpPr txBox="1">
          <a:spLocks noChangeArrowheads="1"/>
        </xdr:cNvSpPr>
      </xdr:nvSpPr>
      <xdr:spPr bwMode="auto">
        <a:xfrm>
          <a:off x="5016500" y="10807700"/>
          <a:ext cx="419100" cy="228600"/>
        </a:xfrm>
        <a:prstGeom prst="rect">
          <a:avLst/>
        </a:prstGeom>
        <a:noFill/>
        <a:ln w="9525">
          <a:noFill/>
          <a:miter lim="800000"/>
          <a:headEnd/>
          <a:tailEnd/>
        </a:ln>
      </xdr:spPr>
      <xdr:txBody>
        <a:bodyPr vertOverflow="clip" wrap="square" lIns="27432" tIns="18288" rIns="0" bIns="0" anchor="t" upright="1"/>
        <a:lstStyle/>
        <a:p>
          <a:pPr algn="l" rtl="0">
            <a:defRPr sz="1000"/>
          </a:pPr>
          <a:r>
            <a:rPr lang="en-US" altLang="ja-JP" sz="1200" b="0" i="0" u="none" strike="noStrike" baseline="0">
              <a:solidFill>
                <a:srgbClr val="000000"/>
              </a:solidFill>
              <a:latin typeface="ＭＳ 明朝"/>
              <a:ea typeface="ＭＳ 明朝"/>
            </a:rPr>
            <a:t>(f4)</a:t>
          </a:r>
        </a:p>
      </xdr:txBody>
    </xdr:sp>
    <xdr:clientData/>
  </xdr:twoCellAnchor>
  <xdr:twoCellAnchor>
    <xdr:from>
      <xdr:col>5</xdr:col>
      <xdr:colOff>0</xdr:colOff>
      <xdr:row>36</xdr:row>
      <xdr:rowOff>0</xdr:rowOff>
    </xdr:from>
    <xdr:to>
      <xdr:col>5</xdr:col>
      <xdr:colOff>384226</xdr:colOff>
      <xdr:row>36</xdr:row>
      <xdr:rowOff>219075</xdr:rowOff>
    </xdr:to>
    <xdr:sp macro="" textlink="">
      <xdr:nvSpPr>
        <xdr:cNvPr id="28" name="Text Box 89">
          <a:extLst>
            <a:ext uri="{FF2B5EF4-FFF2-40B4-BE49-F238E27FC236}">
              <a16:creationId xmlns:a16="http://schemas.microsoft.com/office/drawing/2014/main" id="{1DAE28C7-E83F-0F4E-8F16-E9657FC3FAA4}"/>
            </a:ext>
          </a:extLst>
        </xdr:cNvPr>
        <xdr:cNvSpPr txBox="1">
          <a:spLocks noChangeArrowheads="1"/>
        </xdr:cNvSpPr>
      </xdr:nvSpPr>
      <xdr:spPr bwMode="auto">
        <a:xfrm>
          <a:off x="4203700" y="10807700"/>
          <a:ext cx="384226" cy="219075"/>
        </a:xfrm>
        <a:prstGeom prst="rect">
          <a:avLst/>
        </a:prstGeom>
        <a:noFill/>
        <a:ln w="9525">
          <a:noFill/>
          <a:miter lim="800000"/>
          <a:headEnd/>
          <a:tailEnd/>
        </a:ln>
      </xdr:spPr>
      <xdr:txBody>
        <a:bodyPr vertOverflow="clip" wrap="square" lIns="27432" tIns="18288" rIns="0" bIns="0" anchor="t" upright="1"/>
        <a:lstStyle/>
        <a:p>
          <a:pPr algn="l" rtl="0">
            <a:defRPr sz="1000"/>
          </a:pPr>
          <a:r>
            <a:rPr lang="en-US" altLang="ja-JP" sz="1200" b="0" i="0" u="none" strike="noStrike" baseline="0">
              <a:solidFill>
                <a:srgbClr val="000000"/>
              </a:solidFill>
              <a:latin typeface="ＭＳ 明朝"/>
              <a:ea typeface="ＭＳ 明朝"/>
            </a:rPr>
            <a:t>(f3)</a:t>
          </a:r>
        </a:p>
      </xdr:txBody>
    </xdr:sp>
    <xdr:clientData/>
  </xdr:twoCellAnchor>
  <xdr:twoCellAnchor>
    <xdr:from>
      <xdr:col>1</xdr:col>
      <xdr:colOff>0</xdr:colOff>
      <xdr:row>49</xdr:row>
      <xdr:rowOff>0</xdr:rowOff>
    </xdr:from>
    <xdr:to>
      <xdr:col>1</xdr:col>
      <xdr:colOff>498515</xdr:colOff>
      <xdr:row>49</xdr:row>
      <xdr:rowOff>238125</xdr:rowOff>
    </xdr:to>
    <xdr:sp macro="" textlink="">
      <xdr:nvSpPr>
        <xdr:cNvPr id="29" name="Text Box 93">
          <a:extLst>
            <a:ext uri="{FF2B5EF4-FFF2-40B4-BE49-F238E27FC236}">
              <a16:creationId xmlns:a16="http://schemas.microsoft.com/office/drawing/2014/main" id="{55553DD8-BE9B-9945-8B5B-F280550D66DF}"/>
            </a:ext>
          </a:extLst>
        </xdr:cNvPr>
        <xdr:cNvSpPr txBox="1">
          <a:spLocks noChangeArrowheads="1"/>
        </xdr:cNvSpPr>
      </xdr:nvSpPr>
      <xdr:spPr bwMode="auto">
        <a:xfrm>
          <a:off x="342900" y="15049500"/>
          <a:ext cx="498515" cy="238125"/>
        </a:xfrm>
        <a:prstGeom prst="rect">
          <a:avLst/>
        </a:prstGeom>
        <a:noFill/>
        <a:ln w="9525">
          <a:noFill/>
          <a:miter lim="800000"/>
          <a:headEnd/>
          <a:tailEnd/>
        </a:ln>
      </xdr:spPr>
      <xdr:txBody>
        <a:bodyPr vertOverflow="clip" wrap="square" lIns="27432" tIns="18288" rIns="0" bIns="0" anchor="t" upright="1"/>
        <a:lstStyle/>
        <a:p>
          <a:pPr algn="l" rtl="0">
            <a:defRPr sz="1000"/>
          </a:pPr>
          <a:r>
            <a:rPr lang="en-US" altLang="ja-JP" sz="1200" b="0" i="0" u="none" strike="noStrike" baseline="0">
              <a:solidFill>
                <a:srgbClr val="000000"/>
              </a:solidFill>
              <a:latin typeface="ＭＳ 明朝"/>
              <a:ea typeface="ＭＳ 明朝"/>
            </a:rPr>
            <a:t>(h1)</a:t>
          </a:r>
        </a:p>
      </xdr:txBody>
    </xdr:sp>
    <xdr:clientData/>
  </xdr:twoCellAnchor>
  <xdr:twoCellAnchor>
    <xdr:from>
      <xdr:col>2</xdr:col>
      <xdr:colOff>742950</xdr:colOff>
      <xdr:row>49</xdr:row>
      <xdr:rowOff>0</xdr:rowOff>
    </xdr:from>
    <xdr:to>
      <xdr:col>3</xdr:col>
      <xdr:colOff>533400</xdr:colOff>
      <xdr:row>49</xdr:row>
      <xdr:rowOff>219075</xdr:rowOff>
    </xdr:to>
    <xdr:sp macro="" textlink="">
      <xdr:nvSpPr>
        <xdr:cNvPr id="30" name="Text Box 94">
          <a:extLst>
            <a:ext uri="{FF2B5EF4-FFF2-40B4-BE49-F238E27FC236}">
              <a16:creationId xmlns:a16="http://schemas.microsoft.com/office/drawing/2014/main" id="{D0E9439E-61D9-5943-9438-E04FA7A2F028}"/>
            </a:ext>
          </a:extLst>
        </xdr:cNvPr>
        <xdr:cNvSpPr txBox="1">
          <a:spLocks noChangeArrowheads="1"/>
        </xdr:cNvSpPr>
      </xdr:nvSpPr>
      <xdr:spPr bwMode="auto">
        <a:xfrm>
          <a:off x="2495550" y="15049500"/>
          <a:ext cx="539750" cy="219075"/>
        </a:xfrm>
        <a:prstGeom prst="rect">
          <a:avLst/>
        </a:prstGeom>
        <a:noFill/>
        <a:ln w="9525">
          <a:noFill/>
          <a:miter lim="800000"/>
          <a:headEnd/>
          <a:tailEnd/>
        </a:ln>
      </xdr:spPr>
      <xdr:txBody>
        <a:bodyPr vertOverflow="clip" wrap="square" lIns="27432" tIns="18288" rIns="0" bIns="0" anchor="t" upright="1"/>
        <a:lstStyle/>
        <a:p>
          <a:pPr algn="l" rtl="0">
            <a:defRPr sz="1000"/>
          </a:pPr>
          <a:r>
            <a:rPr lang="en-US" altLang="ja-JP" sz="1200" b="0" i="0" u="none" strike="noStrike" baseline="0">
              <a:solidFill>
                <a:srgbClr val="000000"/>
              </a:solidFill>
              <a:latin typeface="ＭＳ 明朝"/>
              <a:ea typeface="ＭＳ 明朝"/>
            </a:rPr>
            <a:t>(h2)</a:t>
          </a:r>
        </a:p>
      </xdr:txBody>
    </xdr:sp>
    <xdr:clientData/>
  </xdr:twoCellAnchor>
  <xdr:twoCellAnchor>
    <xdr:from>
      <xdr:col>6</xdr:col>
      <xdr:colOff>0</xdr:colOff>
      <xdr:row>49</xdr:row>
      <xdr:rowOff>0</xdr:rowOff>
    </xdr:from>
    <xdr:to>
      <xdr:col>6</xdr:col>
      <xdr:colOff>536612</xdr:colOff>
      <xdr:row>49</xdr:row>
      <xdr:rowOff>219075</xdr:rowOff>
    </xdr:to>
    <xdr:sp macro="" textlink="">
      <xdr:nvSpPr>
        <xdr:cNvPr id="31" name="Text Box 95">
          <a:extLst>
            <a:ext uri="{FF2B5EF4-FFF2-40B4-BE49-F238E27FC236}">
              <a16:creationId xmlns:a16="http://schemas.microsoft.com/office/drawing/2014/main" id="{F66F3731-BD23-DA42-AD1E-E52F21D91503}"/>
            </a:ext>
          </a:extLst>
        </xdr:cNvPr>
        <xdr:cNvSpPr txBox="1">
          <a:spLocks noChangeArrowheads="1"/>
        </xdr:cNvSpPr>
      </xdr:nvSpPr>
      <xdr:spPr bwMode="auto">
        <a:xfrm>
          <a:off x="5016500" y="15049500"/>
          <a:ext cx="536612" cy="219075"/>
        </a:xfrm>
        <a:prstGeom prst="rect">
          <a:avLst/>
        </a:prstGeom>
        <a:noFill/>
        <a:ln w="9525">
          <a:noFill/>
          <a:miter lim="800000"/>
          <a:headEnd/>
          <a:tailEnd/>
        </a:ln>
      </xdr:spPr>
      <xdr:txBody>
        <a:bodyPr vertOverflow="clip" wrap="square" lIns="27432" tIns="18288" rIns="0" bIns="0" anchor="t" upright="1"/>
        <a:lstStyle/>
        <a:p>
          <a:pPr algn="l" rtl="0">
            <a:defRPr sz="1000"/>
          </a:pPr>
          <a:r>
            <a:rPr lang="en-US" altLang="ja-JP" sz="1200" b="0" i="0" u="none" strike="noStrike" baseline="0">
              <a:solidFill>
                <a:srgbClr val="000000"/>
              </a:solidFill>
              <a:latin typeface="ＭＳ 明朝"/>
              <a:ea typeface="ＭＳ 明朝"/>
            </a:rPr>
            <a:t>(H)</a:t>
          </a:r>
        </a:p>
      </xdr:txBody>
    </xdr:sp>
    <xdr:clientData/>
  </xdr:twoCellAnchor>
  <xdr:twoCellAnchor>
    <xdr:from>
      <xdr:col>0</xdr:col>
      <xdr:colOff>428623</xdr:colOff>
      <xdr:row>45</xdr:row>
      <xdr:rowOff>0</xdr:rowOff>
    </xdr:from>
    <xdr:to>
      <xdr:col>1</xdr:col>
      <xdr:colOff>574673</xdr:colOff>
      <xdr:row>45</xdr:row>
      <xdr:rowOff>219075</xdr:rowOff>
    </xdr:to>
    <xdr:sp macro="" textlink="">
      <xdr:nvSpPr>
        <xdr:cNvPr id="32" name="Text Box 97">
          <a:extLst>
            <a:ext uri="{FF2B5EF4-FFF2-40B4-BE49-F238E27FC236}">
              <a16:creationId xmlns:a16="http://schemas.microsoft.com/office/drawing/2014/main" id="{C13ABB34-57A1-7543-94A1-E975FA2846FC}"/>
            </a:ext>
          </a:extLst>
        </xdr:cNvPr>
        <xdr:cNvSpPr txBox="1">
          <a:spLocks noChangeArrowheads="1"/>
        </xdr:cNvSpPr>
      </xdr:nvSpPr>
      <xdr:spPr bwMode="auto">
        <a:xfrm>
          <a:off x="428623" y="14181667"/>
          <a:ext cx="590550" cy="219075"/>
        </a:xfrm>
        <a:prstGeom prst="rect">
          <a:avLst/>
        </a:prstGeom>
        <a:noFill/>
        <a:ln w="9525">
          <a:noFill/>
          <a:miter lim="800000"/>
          <a:headEnd/>
          <a:tailEnd/>
        </a:ln>
      </xdr:spPr>
      <xdr:txBody>
        <a:bodyPr vertOverflow="clip" wrap="square" lIns="27432" tIns="18288" rIns="0" bIns="0" anchor="t" upright="1"/>
        <a:lstStyle/>
        <a:p>
          <a:pPr algn="l" rtl="0">
            <a:defRPr sz="1000"/>
          </a:pPr>
          <a:r>
            <a:rPr lang="en-US" altLang="ja-JP" sz="1200" b="0" i="0" u="none" strike="noStrike" baseline="0">
              <a:solidFill>
                <a:srgbClr val="000000"/>
              </a:solidFill>
              <a:latin typeface="ＭＳ 明朝"/>
              <a:ea typeface="ＭＳ 明朝"/>
            </a:rPr>
            <a:t>(L)</a:t>
          </a:r>
        </a:p>
      </xdr:txBody>
    </xdr:sp>
    <xdr:clientData/>
  </xdr:twoCellAnchor>
  <xdr:twoCellAnchor>
    <xdr:from>
      <xdr:col>3</xdr:col>
      <xdr:colOff>0</xdr:colOff>
      <xdr:row>45</xdr:row>
      <xdr:rowOff>0</xdr:rowOff>
    </xdr:from>
    <xdr:to>
      <xdr:col>3</xdr:col>
      <xdr:colOff>536612</xdr:colOff>
      <xdr:row>45</xdr:row>
      <xdr:rowOff>219075</xdr:rowOff>
    </xdr:to>
    <xdr:sp macro="" textlink="">
      <xdr:nvSpPr>
        <xdr:cNvPr id="33" name="Text Box 98">
          <a:extLst>
            <a:ext uri="{FF2B5EF4-FFF2-40B4-BE49-F238E27FC236}">
              <a16:creationId xmlns:a16="http://schemas.microsoft.com/office/drawing/2014/main" id="{21FE70FD-2225-1544-84F0-B4CA2C36DD6B}"/>
            </a:ext>
          </a:extLst>
        </xdr:cNvPr>
        <xdr:cNvSpPr txBox="1">
          <a:spLocks noChangeArrowheads="1"/>
        </xdr:cNvSpPr>
      </xdr:nvSpPr>
      <xdr:spPr bwMode="auto">
        <a:xfrm>
          <a:off x="2501900" y="13855700"/>
          <a:ext cx="536612" cy="219075"/>
        </a:xfrm>
        <a:prstGeom prst="rect">
          <a:avLst/>
        </a:prstGeom>
        <a:noFill/>
        <a:ln w="9525">
          <a:noFill/>
          <a:miter lim="800000"/>
          <a:headEnd/>
          <a:tailEnd/>
        </a:ln>
      </xdr:spPr>
      <xdr:txBody>
        <a:bodyPr vertOverflow="clip" wrap="square" lIns="27432" tIns="18288" rIns="0" bIns="0" anchor="t" upright="1"/>
        <a:lstStyle/>
        <a:p>
          <a:pPr algn="l" rtl="0">
            <a:defRPr sz="1000"/>
          </a:pPr>
          <a:r>
            <a:rPr lang="en-US" altLang="ja-JP" sz="1200" b="0" i="0" u="none" strike="noStrike" baseline="0">
              <a:solidFill>
                <a:srgbClr val="000000"/>
              </a:solidFill>
              <a:latin typeface="ＭＳ 明朝"/>
              <a:ea typeface="ＭＳ 明朝"/>
            </a:rPr>
            <a:t>(g1)</a:t>
          </a:r>
        </a:p>
      </xdr:txBody>
    </xdr:sp>
    <xdr:clientData/>
  </xdr:twoCellAnchor>
  <xdr:twoCellAnchor>
    <xdr:from>
      <xdr:col>6</xdr:col>
      <xdr:colOff>0</xdr:colOff>
      <xdr:row>45</xdr:row>
      <xdr:rowOff>0</xdr:rowOff>
    </xdr:from>
    <xdr:to>
      <xdr:col>6</xdr:col>
      <xdr:colOff>536612</xdr:colOff>
      <xdr:row>45</xdr:row>
      <xdr:rowOff>219075</xdr:rowOff>
    </xdr:to>
    <xdr:sp macro="" textlink="">
      <xdr:nvSpPr>
        <xdr:cNvPr id="34" name="Text Box 99">
          <a:extLst>
            <a:ext uri="{FF2B5EF4-FFF2-40B4-BE49-F238E27FC236}">
              <a16:creationId xmlns:a16="http://schemas.microsoft.com/office/drawing/2014/main" id="{C8094CC4-84FB-D74D-A129-6BE8C34F4088}"/>
            </a:ext>
          </a:extLst>
        </xdr:cNvPr>
        <xdr:cNvSpPr txBox="1">
          <a:spLocks noChangeArrowheads="1"/>
        </xdr:cNvSpPr>
      </xdr:nvSpPr>
      <xdr:spPr bwMode="auto">
        <a:xfrm>
          <a:off x="5016500" y="13855700"/>
          <a:ext cx="536612" cy="219075"/>
        </a:xfrm>
        <a:prstGeom prst="rect">
          <a:avLst/>
        </a:prstGeom>
        <a:noFill/>
        <a:ln w="9525">
          <a:noFill/>
          <a:miter lim="800000"/>
          <a:headEnd/>
          <a:tailEnd/>
        </a:ln>
      </xdr:spPr>
      <xdr:txBody>
        <a:bodyPr vertOverflow="clip" wrap="square" lIns="27432" tIns="18288" rIns="0" bIns="0" anchor="t" upright="1"/>
        <a:lstStyle/>
        <a:p>
          <a:pPr algn="l" rtl="0">
            <a:defRPr sz="1000"/>
          </a:pPr>
          <a:r>
            <a:rPr lang="en-US" altLang="ja-JP" sz="1200" b="0" i="0" u="none" strike="noStrike" baseline="0">
              <a:solidFill>
                <a:srgbClr val="000000"/>
              </a:solidFill>
              <a:latin typeface="ＭＳ 明朝"/>
              <a:ea typeface="ＭＳ 明朝"/>
            </a:rPr>
            <a:t>(G)</a:t>
          </a:r>
        </a:p>
      </xdr:txBody>
    </xdr:sp>
    <xdr:clientData/>
  </xdr:twoCellAnchor>
  <xdr:twoCellAnchor>
    <xdr:from>
      <xdr:col>0</xdr:col>
      <xdr:colOff>428623</xdr:colOff>
      <xdr:row>53</xdr:row>
      <xdr:rowOff>0</xdr:rowOff>
    </xdr:from>
    <xdr:to>
      <xdr:col>1</xdr:col>
      <xdr:colOff>879473</xdr:colOff>
      <xdr:row>53</xdr:row>
      <xdr:rowOff>219075</xdr:rowOff>
    </xdr:to>
    <xdr:sp macro="" textlink="">
      <xdr:nvSpPr>
        <xdr:cNvPr id="35" name="Text Box 101">
          <a:extLst>
            <a:ext uri="{FF2B5EF4-FFF2-40B4-BE49-F238E27FC236}">
              <a16:creationId xmlns:a16="http://schemas.microsoft.com/office/drawing/2014/main" id="{667E8A67-20AF-564F-A74B-3D40DEC3779A}"/>
            </a:ext>
          </a:extLst>
        </xdr:cNvPr>
        <xdr:cNvSpPr txBox="1">
          <a:spLocks noChangeArrowheads="1"/>
        </xdr:cNvSpPr>
      </xdr:nvSpPr>
      <xdr:spPr bwMode="auto">
        <a:xfrm>
          <a:off x="428623" y="16637000"/>
          <a:ext cx="895350" cy="219075"/>
        </a:xfrm>
        <a:prstGeom prst="rect">
          <a:avLst/>
        </a:prstGeom>
        <a:noFill/>
        <a:ln w="9525">
          <a:noFill/>
          <a:miter lim="800000"/>
          <a:headEnd/>
          <a:tailEnd/>
        </a:ln>
      </xdr:spPr>
      <xdr:txBody>
        <a:bodyPr vertOverflow="clip" wrap="square" lIns="27432" tIns="18288" rIns="0" bIns="0" anchor="t" upright="1"/>
        <a:lstStyle/>
        <a:p>
          <a:pPr algn="l" rtl="0">
            <a:defRPr sz="1000"/>
          </a:pPr>
          <a:r>
            <a:rPr lang="en-US" altLang="ja-JP" sz="1200" b="0" i="0" u="none" strike="noStrike" baseline="0">
              <a:solidFill>
                <a:srgbClr val="000000"/>
              </a:solidFill>
              <a:latin typeface="ＭＳ 明朝"/>
              <a:ea typeface="ＭＳ 明朝"/>
            </a:rPr>
            <a:t>(B⑦-B⑥)</a:t>
          </a:r>
        </a:p>
      </xdr:txBody>
    </xdr:sp>
    <xdr:clientData/>
  </xdr:twoCellAnchor>
  <xdr:twoCellAnchor>
    <xdr:from>
      <xdr:col>3</xdr:col>
      <xdr:colOff>0</xdr:colOff>
      <xdr:row>53</xdr:row>
      <xdr:rowOff>0</xdr:rowOff>
    </xdr:from>
    <xdr:to>
      <xdr:col>3</xdr:col>
      <xdr:colOff>536612</xdr:colOff>
      <xdr:row>53</xdr:row>
      <xdr:rowOff>219075</xdr:rowOff>
    </xdr:to>
    <xdr:sp macro="" textlink="">
      <xdr:nvSpPr>
        <xdr:cNvPr id="36" name="Text Box 102">
          <a:extLst>
            <a:ext uri="{FF2B5EF4-FFF2-40B4-BE49-F238E27FC236}">
              <a16:creationId xmlns:a16="http://schemas.microsoft.com/office/drawing/2014/main" id="{FAA4FC68-C1F6-364B-8ABA-F78301D36150}"/>
            </a:ext>
          </a:extLst>
        </xdr:cNvPr>
        <xdr:cNvSpPr txBox="1">
          <a:spLocks noChangeArrowheads="1"/>
        </xdr:cNvSpPr>
      </xdr:nvSpPr>
      <xdr:spPr bwMode="auto">
        <a:xfrm>
          <a:off x="2501900" y="16243300"/>
          <a:ext cx="536612" cy="219075"/>
        </a:xfrm>
        <a:prstGeom prst="rect">
          <a:avLst/>
        </a:prstGeom>
        <a:noFill/>
        <a:ln w="9525">
          <a:noFill/>
          <a:miter lim="800000"/>
          <a:headEnd/>
          <a:tailEnd/>
        </a:ln>
      </xdr:spPr>
      <xdr:txBody>
        <a:bodyPr vertOverflow="clip" wrap="square" lIns="27432" tIns="18288" rIns="0" bIns="0" anchor="t" upright="1"/>
        <a:lstStyle/>
        <a:p>
          <a:pPr algn="l" rtl="0">
            <a:defRPr sz="1000"/>
          </a:pPr>
          <a:r>
            <a:rPr lang="en-US" altLang="ja-JP" sz="1200" b="0" i="0" u="none" strike="noStrike" baseline="0">
              <a:solidFill>
                <a:srgbClr val="000000"/>
              </a:solidFill>
              <a:latin typeface="ＭＳ 明朝"/>
              <a:ea typeface="ＭＳ 明朝"/>
            </a:rPr>
            <a:t>(i1)</a:t>
          </a:r>
        </a:p>
      </xdr:txBody>
    </xdr:sp>
    <xdr:clientData/>
  </xdr:twoCellAnchor>
  <xdr:twoCellAnchor>
    <xdr:from>
      <xdr:col>6</xdr:col>
      <xdr:colOff>0</xdr:colOff>
      <xdr:row>53</xdr:row>
      <xdr:rowOff>0</xdr:rowOff>
    </xdr:from>
    <xdr:to>
      <xdr:col>6</xdr:col>
      <xdr:colOff>536612</xdr:colOff>
      <xdr:row>53</xdr:row>
      <xdr:rowOff>219075</xdr:rowOff>
    </xdr:to>
    <xdr:sp macro="" textlink="">
      <xdr:nvSpPr>
        <xdr:cNvPr id="37" name="Text Box 103">
          <a:extLst>
            <a:ext uri="{FF2B5EF4-FFF2-40B4-BE49-F238E27FC236}">
              <a16:creationId xmlns:a16="http://schemas.microsoft.com/office/drawing/2014/main" id="{A9180FFE-C37A-0C47-A6BD-462B39A70BB1}"/>
            </a:ext>
          </a:extLst>
        </xdr:cNvPr>
        <xdr:cNvSpPr txBox="1">
          <a:spLocks noChangeArrowheads="1"/>
        </xdr:cNvSpPr>
      </xdr:nvSpPr>
      <xdr:spPr bwMode="auto">
        <a:xfrm>
          <a:off x="5016500" y="16243300"/>
          <a:ext cx="536612" cy="219075"/>
        </a:xfrm>
        <a:prstGeom prst="rect">
          <a:avLst/>
        </a:prstGeom>
        <a:noFill/>
        <a:ln w="9525">
          <a:noFill/>
          <a:miter lim="800000"/>
          <a:headEnd/>
          <a:tailEnd/>
        </a:ln>
      </xdr:spPr>
      <xdr:txBody>
        <a:bodyPr vertOverflow="clip" wrap="square" lIns="27432" tIns="18288" rIns="0" bIns="0" anchor="t" upright="1"/>
        <a:lstStyle/>
        <a:p>
          <a:pPr algn="l" rtl="0">
            <a:defRPr sz="1000"/>
          </a:pPr>
          <a:r>
            <a:rPr lang="en-US" altLang="ja-JP" sz="1200" b="0" i="0" u="none" strike="noStrike" baseline="0">
              <a:solidFill>
                <a:srgbClr val="000000"/>
              </a:solidFill>
              <a:latin typeface="ＭＳ 明朝"/>
              <a:ea typeface="ＭＳ 明朝"/>
            </a:rPr>
            <a:t>(I①)</a:t>
          </a:r>
        </a:p>
      </xdr:txBody>
    </xdr:sp>
    <xdr:clientData/>
  </xdr:twoCellAnchor>
  <xdr:twoCellAnchor>
    <xdr:from>
      <xdr:col>0</xdr:col>
      <xdr:colOff>428623</xdr:colOff>
      <xdr:row>56</xdr:row>
      <xdr:rowOff>0</xdr:rowOff>
    </xdr:from>
    <xdr:to>
      <xdr:col>1</xdr:col>
      <xdr:colOff>631823</xdr:colOff>
      <xdr:row>56</xdr:row>
      <xdr:rowOff>219075</xdr:rowOff>
    </xdr:to>
    <xdr:sp macro="" textlink="">
      <xdr:nvSpPr>
        <xdr:cNvPr id="38" name="Text Box 105">
          <a:extLst>
            <a:ext uri="{FF2B5EF4-FFF2-40B4-BE49-F238E27FC236}">
              <a16:creationId xmlns:a16="http://schemas.microsoft.com/office/drawing/2014/main" id="{56FB1A55-437B-3A4B-A44E-C46984B06BC8}"/>
            </a:ext>
          </a:extLst>
        </xdr:cNvPr>
        <xdr:cNvSpPr txBox="1">
          <a:spLocks noChangeArrowheads="1"/>
        </xdr:cNvSpPr>
      </xdr:nvSpPr>
      <xdr:spPr bwMode="auto">
        <a:xfrm>
          <a:off x="428623" y="17557750"/>
          <a:ext cx="647700" cy="219075"/>
        </a:xfrm>
        <a:prstGeom prst="rect">
          <a:avLst/>
        </a:prstGeom>
        <a:noFill/>
        <a:ln w="9525">
          <a:noFill/>
          <a:miter lim="800000"/>
          <a:headEnd/>
          <a:tailEnd/>
        </a:ln>
      </xdr:spPr>
      <xdr:txBody>
        <a:bodyPr vertOverflow="clip" wrap="square" lIns="27432" tIns="18288" rIns="0" bIns="0" anchor="t" upright="1"/>
        <a:lstStyle/>
        <a:p>
          <a:pPr algn="l" rtl="0">
            <a:defRPr sz="1000"/>
          </a:pPr>
          <a:r>
            <a:rPr lang="en-US" altLang="ja-JP" sz="1200" b="0" i="0" u="none" strike="noStrike" baseline="0">
              <a:solidFill>
                <a:srgbClr val="000000"/>
              </a:solidFill>
              <a:latin typeface="ＭＳ 明朝"/>
              <a:ea typeface="ＭＳ 明朝"/>
            </a:rPr>
            <a:t>(B⑥)</a:t>
          </a:r>
        </a:p>
      </xdr:txBody>
    </xdr:sp>
    <xdr:clientData/>
  </xdr:twoCellAnchor>
  <xdr:twoCellAnchor>
    <xdr:from>
      <xdr:col>3</xdr:col>
      <xdr:colOff>0</xdr:colOff>
      <xdr:row>56</xdr:row>
      <xdr:rowOff>0</xdr:rowOff>
    </xdr:from>
    <xdr:to>
      <xdr:col>3</xdr:col>
      <xdr:colOff>536612</xdr:colOff>
      <xdr:row>56</xdr:row>
      <xdr:rowOff>219075</xdr:rowOff>
    </xdr:to>
    <xdr:sp macro="" textlink="">
      <xdr:nvSpPr>
        <xdr:cNvPr id="39" name="Text Box 106">
          <a:extLst>
            <a:ext uri="{FF2B5EF4-FFF2-40B4-BE49-F238E27FC236}">
              <a16:creationId xmlns:a16="http://schemas.microsoft.com/office/drawing/2014/main" id="{7569D9FB-913E-FC48-98CE-57DB18CDC6BB}"/>
            </a:ext>
          </a:extLst>
        </xdr:cNvPr>
        <xdr:cNvSpPr txBox="1">
          <a:spLocks noChangeArrowheads="1"/>
        </xdr:cNvSpPr>
      </xdr:nvSpPr>
      <xdr:spPr bwMode="auto">
        <a:xfrm>
          <a:off x="2501900" y="17132300"/>
          <a:ext cx="536612" cy="219075"/>
        </a:xfrm>
        <a:prstGeom prst="rect">
          <a:avLst/>
        </a:prstGeom>
        <a:noFill/>
        <a:ln w="9525">
          <a:noFill/>
          <a:miter lim="800000"/>
          <a:headEnd/>
          <a:tailEnd/>
        </a:ln>
      </xdr:spPr>
      <xdr:txBody>
        <a:bodyPr vertOverflow="clip" wrap="square" lIns="27432" tIns="18288" rIns="0" bIns="0" anchor="t" upright="1"/>
        <a:lstStyle/>
        <a:p>
          <a:pPr algn="l" rtl="0">
            <a:defRPr sz="1000"/>
          </a:pPr>
          <a:r>
            <a:rPr lang="en-US" altLang="ja-JP" sz="1200" b="0" i="0" u="none" strike="noStrike" baseline="0">
              <a:solidFill>
                <a:srgbClr val="000000"/>
              </a:solidFill>
              <a:latin typeface="ＭＳ 明朝"/>
              <a:ea typeface="ＭＳ 明朝"/>
            </a:rPr>
            <a:t>(i2)</a:t>
          </a:r>
        </a:p>
      </xdr:txBody>
    </xdr:sp>
    <xdr:clientData/>
  </xdr:twoCellAnchor>
  <xdr:twoCellAnchor>
    <xdr:from>
      <xdr:col>6</xdr:col>
      <xdr:colOff>0</xdr:colOff>
      <xdr:row>56</xdr:row>
      <xdr:rowOff>0</xdr:rowOff>
    </xdr:from>
    <xdr:to>
      <xdr:col>6</xdr:col>
      <xdr:colOff>536612</xdr:colOff>
      <xdr:row>56</xdr:row>
      <xdr:rowOff>219075</xdr:rowOff>
    </xdr:to>
    <xdr:sp macro="" textlink="">
      <xdr:nvSpPr>
        <xdr:cNvPr id="40" name="Text Box 107">
          <a:extLst>
            <a:ext uri="{FF2B5EF4-FFF2-40B4-BE49-F238E27FC236}">
              <a16:creationId xmlns:a16="http://schemas.microsoft.com/office/drawing/2014/main" id="{735E0018-586C-604A-AACD-36B28D3EE6BD}"/>
            </a:ext>
          </a:extLst>
        </xdr:cNvPr>
        <xdr:cNvSpPr txBox="1">
          <a:spLocks noChangeArrowheads="1"/>
        </xdr:cNvSpPr>
      </xdr:nvSpPr>
      <xdr:spPr bwMode="auto">
        <a:xfrm>
          <a:off x="5016500" y="17132300"/>
          <a:ext cx="536612" cy="219075"/>
        </a:xfrm>
        <a:prstGeom prst="rect">
          <a:avLst/>
        </a:prstGeom>
        <a:noFill/>
        <a:ln w="9525">
          <a:noFill/>
          <a:miter lim="800000"/>
          <a:headEnd/>
          <a:tailEnd/>
        </a:ln>
      </xdr:spPr>
      <xdr:txBody>
        <a:bodyPr vertOverflow="clip" wrap="square" lIns="27432" tIns="18288" rIns="0" bIns="0" anchor="t" upright="1"/>
        <a:lstStyle/>
        <a:p>
          <a:pPr algn="l" rtl="0">
            <a:defRPr sz="1000"/>
          </a:pPr>
          <a:r>
            <a:rPr lang="en-US" altLang="ja-JP" sz="1200" b="0" i="0" u="none" strike="noStrike" baseline="0">
              <a:solidFill>
                <a:srgbClr val="000000"/>
              </a:solidFill>
              <a:latin typeface="ＭＳ 明朝"/>
              <a:ea typeface="ＭＳ 明朝"/>
            </a:rPr>
            <a:t>(I②)</a:t>
          </a:r>
        </a:p>
      </xdr:txBody>
    </xdr:sp>
    <xdr:clientData/>
  </xdr:twoCellAnchor>
  <xdr:twoCellAnchor>
    <xdr:from>
      <xdr:col>1</xdr:col>
      <xdr:colOff>0</xdr:colOff>
      <xdr:row>62</xdr:row>
      <xdr:rowOff>0</xdr:rowOff>
    </xdr:from>
    <xdr:to>
      <xdr:col>1</xdr:col>
      <xdr:colOff>441370</xdr:colOff>
      <xdr:row>62</xdr:row>
      <xdr:rowOff>219075</xdr:rowOff>
    </xdr:to>
    <xdr:sp macro="" textlink="">
      <xdr:nvSpPr>
        <xdr:cNvPr id="41" name="Text Box 109">
          <a:extLst>
            <a:ext uri="{FF2B5EF4-FFF2-40B4-BE49-F238E27FC236}">
              <a16:creationId xmlns:a16="http://schemas.microsoft.com/office/drawing/2014/main" id="{EC7AED2D-5F8E-FB41-95D1-29C5A94DFA8B}"/>
            </a:ext>
          </a:extLst>
        </xdr:cNvPr>
        <xdr:cNvSpPr txBox="1">
          <a:spLocks noChangeArrowheads="1"/>
        </xdr:cNvSpPr>
      </xdr:nvSpPr>
      <xdr:spPr bwMode="auto">
        <a:xfrm>
          <a:off x="342900" y="19075400"/>
          <a:ext cx="441370" cy="219075"/>
        </a:xfrm>
        <a:prstGeom prst="rect">
          <a:avLst/>
        </a:prstGeom>
        <a:noFill/>
        <a:ln w="9525">
          <a:noFill/>
          <a:miter lim="800000"/>
          <a:headEnd/>
          <a:tailEnd/>
        </a:ln>
      </xdr:spPr>
      <xdr:txBody>
        <a:bodyPr vertOverflow="clip" wrap="square" lIns="27432" tIns="18288" rIns="0" bIns="0" anchor="t" upright="1"/>
        <a:lstStyle/>
        <a:p>
          <a:pPr algn="l" rtl="0">
            <a:defRPr sz="1000"/>
          </a:pPr>
          <a:r>
            <a:rPr lang="en-US" altLang="ja-JP" sz="1200" b="0" i="0" u="none" strike="noStrike" baseline="0">
              <a:solidFill>
                <a:srgbClr val="000000"/>
              </a:solidFill>
              <a:latin typeface="ＭＳ 明朝"/>
              <a:ea typeface="ＭＳ 明朝"/>
            </a:rPr>
            <a:t>(j1)</a:t>
          </a:r>
        </a:p>
      </xdr:txBody>
    </xdr:sp>
    <xdr:clientData/>
  </xdr:twoCellAnchor>
  <xdr:twoCellAnchor>
    <xdr:from>
      <xdr:col>2</xdr:col>
      <xdr:colOff>742950</xdr:colOff>
      <xdr:row>62</xdr:row>
      <xdr:rowOff>0</xdr:rowOff>
    </xdr:from>
    <xdr:to>
      <xdr:col>3</xdr:col>
      <xdr:colOff>533400</xdr:colOff>
      <xdr:row>62</xdr:row>
      <xdr:rowOff>219075</xdr:rowOff>
    </xdr:to>
    <xdr:sp macro="" textlink="">
      <xdr:nvSpPr>
        <xdr:cNvPr id="42" name="Text Box 110">
          <a:extLst>
            <a:ext uri="{FF2B5EF4-FFF2-40B4-BE49-F238E27FC236}">
              <a16:creationId xmlns:a16="http://schemas.microsoft.com/office/drawing/2014/main" id="{186392C3-51D5-1F43-B660-B028A143D947}"/>
            </a:ext>
          </a:extLst>
        </xdr:cNvPr>
        <xdr:cNvSpPr txBox="1">
          <a:spLocks noChangeArrowheads="1"/>
        </xdr:cNvSpPr>
      </xdr:nvSpPr>
      <xdr:spPr bwMode="auto">
        <a:xfrm>
          <a:off x="2495550" y="19075400"/>
          <a:ext cx="539750" cy="219075"/>
        </a:xfrm>
        <a:prstGeom prst="rect">
          <a:avLst/>
        </a:prstGeom>
        <a:noFill/>
        <a:ln w="9525">
          <a:noFill/>
          <a:miter lim="800000"/>
          <a:headEnd/>
          <a:tailEnd/>
        </a:ln>
      </xdr:spPr>
      <xdr:txBody>
        <a:bodyPr vertOverflow="clip" wrap="square" lIns="27432" tIns="18288" rIns="0" bIns="0" anchor="t" upright="1"/>
        <a:lstStyle/>
        <a:p>
          <a:pPr algn="l" rtl="0">
            <a:defRPr sz="1000"/>
          </a:pPr>
          <a:r>
            <a:rPr lang="en-US" altLang="ja-JP" sz="1200" b="0" i="0" u="none" strike="noStrike" baseline="0">
              <a:solidFill>
                <a:srgbClr val="000000"/>
              </a:solidFill>
              <a:latin typeface="ＭＳ 明朝"/>
              <a:ea typeface="ＭＳ 明朝"/>
            </a:rPr>
            <a:t>(j2)</a:t>
          </a:r>
        </a:p>
      </xdr:txBody>
    </xdr:sp>
    <xdr:clientData/>
  </xdr:twoCellAnchor>
  <xdr:twoCellAnchor>
    <xdr:from>
      <xdr:col>6</xdr:col>
      <xdr:colOff>0</xdr:colOff>
      <xdr:row>62</xdr:row>
      <xdr:rowOff>0</xdr:rowOff>
    </xdr:from>
    <xdr:to>
      <xdr:col>6</xdr:col>
      <xdr:colOff>536612</xdr:colOff>
      <xdr:row>62</xdr:row>
      <xdr:rowOff>219075</xdr:rowOff>
    </xdr:to>
    <xdr:sp macro="" textlink="">
      <xdr:nvSpPr>
        <xdr:cNvPr id="43" name="Text Box 111">
          <a:extLst>
            <a:ext uri="{FF2B5EF4-FFF2-40B4-BE49-F238E27FC236}">
              <a16:creationId xmlns:a16="http://schemas.microsoft.com/office/drawing/2014/main" id="{04194CA6-11E4-C14C-A7DB-B6E545A2E8AF}"/>
            </a:ext>
          </a:extLst>
        </xdr:cNvPr>
        <xdr:cNvSpPr txBox="1">
          <a:spLocks noChangeArrowheads="1"/>
        </xdr:cNvSpPr>
      </xdr:nvSpPr>
      <xdr:spPr bwMode="auto">
        <a:xfrm>
          <a:off x="5016500" y="19075400"/>
          <a:ext cx="536612" cy="219075"/>
        </a:xfrm>
        <a:prstGeom prst="rect">
          <a:avLst/>
        </a:prstGeom>
        <a:noFill/>
        <a:ln w="9525">
          <a:noFill/>
          <a:miter lim="800000"/>
          <a:headEnd/>
          <a:tailEnd/>
        </a:ln>
      </xdr:spPr>
      <xdr:txBody>
        <a:bodyPr vertOverflow="clip" wrap="square" lIns="27432" tIns="18288" rIns="0" bIns="0" anchor="t" upright="1"/>
        <a:lstStyle/>
        <a:p>
          <a:pPr algn="l" rtl="0">
            <a:defRPr sz="1000"/>
          </a:pPr>
          <a:r>
            <a:rPr lang="en-US" altLang="ja-JP" sz="1200" b="0" i="0" u="none" strike="noStrike" baseline="0">
              <a:solidFill>
                <a:srgbClr val="000000"/>
              </a:solidFill>
              <a:latin typeface="ＭＳ 明朝"/>
              <a:ea typeface="ＭＳ 明朝"/>
            </a:rPr>
            <a:t>(J)</a:t>
          </a:r>
        </a:p>
      </xdr:txBody>
    </xdr:sp>
    <xdr:clientData/>
  </xdr:twoCellAnchor>
  <xdr:twoCellAnchor>
    <xdr:from>
      <xdr:col>0</xdr:col>
      <xdr:colOff>431162</xdr:colOff>
      <xdr:row>35</xdr:row>
      <xdr:rowOff>46990</xdr:rowOff>
    </xdr:from>
    <xdr:to>
      <xdr:col>1</xdr:col>
      <xdr:colOff>584832</xdr:colOff>
      <xdr:row>35</xdr:row>
      <xdr:rowOff>266065</xdr:rowOff>
    </xdr:to>
    <xdr:sp macro="" textlink="">
      <xdr:nvSpPr>
        <xdr:cNvPr id="54" name="Text Box 134">
          <a:extLst>
            <a:ext uri="{FF2B5EF4-FFF2-40B4-BE49-F238E27FC236}">
              <a16:creationId xmlns:a16="http://schemas.microsoft.com/office/drawing/2014/main" id="{6126170C-6DAD-CC40-A8DD-E80BAA2CA7D6}"/>
            </a:ext>
          </a:extLst>
        </xdr:cNvPr>
        <xdr:cNvSpPr txBox="1">
          <a:spLocks noChangeArrowheads="1"/>
        </xdr:cNvSpPr>
      </xdr:nvSpPr>
      <xdr:spPr bwMode="auto">
        <a:xfrm>
          <a:off x="431162" y="10829290"/>
          <a:ext cx="598170" cy="219075"/>
        </a:xfrm>
        <a:prstGeom prst="rect">
          <a:avLst/>
        </a:prstGeom>
        <a:noFill/>
        <a:ln w="9525">
          <a:noFill/>
          <a:miter lim="800000"/>
          <a:headEnd/>
          <a:tailEnd/>
        </a:ln>
      </xdr:spPr>
      <xdr:txBody>
        <a:bodyPr vertOverflow="clip" wrap="square" lIns="27432" tIns="18288" rIns="0" bIns="0" anchor="t" upright="1"/>
        <a:lstStyle/>
        <a:p>
          <a:pPr algn="l" rtl="0">
            <a:defRPr sz="1000"/>
          </a:pPr>
          <a:r>
            <a:rPr lang="en-US" altLang="ja-JP" sz="1050" b="0" i="0" u="none" strike="noStrike" baseline="0">
              <a:solidFill>
                <a:srgbClr val="000000"/>
              </a:solidFill>
              <a:latin typeface="ＭＳ 明朝"/>
              <a:ea typeface="ＭＳ 明朝"/>
            </a:rPr>
            <a:t>(f1)</a:t>
          </a:r>
        </a:p>
      </xdr:txBody>
    </xdr:sp>
    <xdr:clientData/>
  </xdr:twoCellAnchor>
  <xdr:twoCellAnchor>
    <xdr:from>
      <xdr:col>4</xdr:col>
      <xdr:colOff>0</xdr:colOff>
      <xdr:row>45</xdr:row>
      <xdr:rowOff>0</xdr:rowOff>
    </xdr:from>
    <xdr:to>
      <xdr:col>4</xdr:col>
      <xdr:colOff>542925</xdr:colOff>
      <xdr:row>45</xdr:row>
      <xdr:rowOff>219075</xdr:rowOff>
    </xdr:to>
    <xdr:sp macro="" textlink="">
      <xdr:nvSpPr>
        <xdr:cNvPr id="60" name="Text Box 98">
          <a:extLst>
            <a:ext uri="{FF2B5EF4-FFF2-40B4-BE49-F238E27FC236}">
              <a16:creationId xmlns:a16="http://schemas.microsoft.com/office/drawing/2014/main" id="{A55C784D-1FE9-1745-8EDD-B711110FD0F8}"/>
            </a:ext>
          </a:extLst>
        </xdr:cNvPr>
        <xdr:cNvSpPr txBox="1">
          <a:spLocks noChangeArrowheads="1"/>
        </xdr:cNvSpPr>
      </xdr:nvSpPr>
      <xdr:spPr bwMode="auto">
        <a:xfrm>
          <a:off x="3771900" y="13855700"/>
          <a:ext cx="428625" cy="219075"/>
        </a:xfrm>
        <a:prstGeom prst="rect">
          <a:avLst/>
        </a:prstGeom>
        <a:noFill/>
        <a:ln w="9525">
          <a:noFill/>
          <a:miter lim="800000"/>
          <a:headEnd/>
          <a:tailEnd/>
        </a:ln>
      </xdr:spPr>
      <xdr:txBody>
        <a:bodyPr vertOverflow="clip" wrap="square" lIns="27432" tIns="18288" rIns="0" bIns="0" anchor="t" upright="1"/>
        <a:lstStyle/>
        <a:p>
          <a:pPr algn="l" rtl="0">
            <a:defRPr sz="1000"/>
          </a:pPr>
          <a:r>
            <a:rPr lang="en-US" altLang="ja-JP" sz="1200" b="0" i="0" u="none" strike="noStrike" baseline="0">
              <a:solidFill>
                <a:srgbClr val="000000"/>
              </a:solidFill>
              <a:latin typeface="ＭＳ 明朝"/>
              <a:ea typeface="ＭＳ 明朝"/>
            </a:rPr>
            <a:t>(g2)</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7</xdr:row>
      <xdr:rowOff>0</xdr:rowOff>
    </xdr:from>
    <xdr:to>
      <xdr:col>1</xdr:col>
      <xdr:colOff>403274</xdr:colOff>
      <xdr:row>7</xdr:row>
      <xdr:rowOff>212816</xdr:rowOff>
    </xdr:to>
    <xdr:sp macro="" textlink="">
      <xdr:nvSpPr>
        <xdr:cNvPr id="44" name="Text Box 113">
          <a:extLst>
            <a:ext uri="{FF2B5EF4-FFF2-40B4-BE49-F238E27FC236}">
              <a16:creationId xmlns:a16="http://schemas.microsoft.com/office/drawing/2014/main" id="{7DBF9526-5EFB-DE40-B6AE-03EAD7C717ED}"/>
            </a:ext>
          </a:extLst>
        </xdr:cNvPr>
        <xdr:cNvSpPr txBox="1">
          <a:spLocks noChangeArrowheads="1"/>
        </xdr:cNvSpPr>
      </xdr:nvSpPr>
      <xdr:spPr bwMode="auto">
        <a:xfrm>
          <a:off x="342900" y="21932900"/>
          <a:ext cx="403274" cy="212816"/>
        </a:xfrm>
        <a:prstGeom prst="rect">
          <a:avLst/>
        </a:prstGeom>
        <a:noFill/>
        <a:ln w="9525">
          <a:noFill/>
          <a:miter lim="800000"/>
          <a:headEnd/>
          <a:tailEnd/>
        </a:ln>
      </xdr:spPr>
      <xdr:txBody>
        <a:bodyPr vertOverflow="clip" wrap="square" lIns="27432" tIns="18288" rIns="0" bIns="0" anchor="t" upright="1"/>
        <a:lstStyle/>
        <a:p>
          <a:pPr algn="l" rtl="0">
            <a:defRPr sz="1000"/>
          </a:pPr>
          <a:r>
            <a:rPr lang="en-US" altLang="ja-JP" sz="1050" b="0" i="0" u="none" strike="noStrike" baseline="0">
              <a:solidFill>
                <a:srgbClr val="000000"/>
              </a:solidFill>
              <a:latin typeface="ＭＳ 明朝"/>
              <a:ea typeface="ＭＳ 明朝"/>
            </a:rPr>
            <a:t>(L)</a:t>
          </a:r>
        </a:p>
      </xdr:txBody>
    </xdr:sp>
    <xdr:clientData/>
  </xdr:twoCellAnchor>
  <xdr:twoCellAnchor>
    <xdr:from>
      <xdr:col>3</xdr:col>
      <xdr:colOff>0</xdr:colOff>
      <xdr:row>7</xdr:row>
      <xdr:rowOff>0</xdr:rowOff>
    </xdr:from>
    <xdr:to>
      <xdr:col>3</xdr:col>
      <xdr:colOff>536612</xdr:colOff>
      <xdr:row>7</xdr:row>
      <xdr:rowOff>212816</xdr:rowOff>
    </xdr:to>
    <xdr:sp macro="" textlink="">
      <xdr:nvSpPr>
        <xdr:cNvPr id="45" name="Text Box 114">
          <a:extLst>
            <a:ext uri="{FF2B5EF4-FFF2-40B4-BE49-F238E27FC236}">
              <a16:creationId xmlns:a16="http://schemas.microsoft.com/office/drawing/2014/main" id="{2ABCF851-6E45-EE40-B616-F0098B5DB677}"/>
            </a:ext>
          </a:extLst>
        </xdr:cNvPr>
        <xdr:cNvSpPr txBox="1">
          <a:spLocks noChangeArrowheads="1"/>
        </xdr:cNvSpPr>
      </xdr:nvSpPr>
      <xdr:spPr bwMode="auto">
        <a:xfrm>
          <a:off x="2501900" y="21932900"/>
          <a:ext cx="536612" cy="212816"/>
        </a:xfrm>
        <a:prstGeom prst="rect">
          <a:avLst/>
        </a:prstGeom>
        <a:noFill/>
        <a:ln w="9525">
          <a:noFill/>
          <a:miter lim="800000"/>
          <a:headEnd/>
          <a:tailEnd/>
        </a:ln>
      </xdr:spPr>
      <xdr:txBody>
        <a:bodyPr vertOverflow="clip" wrap="square" lIns="27432" tIns="18288" rIns="0" bIns="0" anchor="t" upright="1"/>
        <a:lstStyle/>
        <a:p>
          <a:pPr algn="l" rtl="0">
            <a:defRPr sz="1000"/>
          </a:pPr>
          <a:r>
            <a:rPr lang="en-US" altLang="ja-JP" sz="1050" b="0" i="0" u="none" strike="noStrike" baseline="0">
              <a:solidFill>
                <a:srgbClr val="000000"/>
              </a:solidFill>
              <a:latin typeface="ＭＳ 明朝"/>
              <a:ea typeface="ＭＳ 明朝"/>
            </a:rPr>
            <a:t>(k1)</a:t>
          </a:r>
        </a:p>
      </xdr:txBody>
    </xdr:sp>
    <xdr:clientData/>
  </xdr:twoCellAnchor>
  <xdr:twoCellAnchor>
    <xdr:from>
      <xdr:col>6</xdr:col>
      <xdr:colOff>0</xdr:colOff>
      <xdr:row>7</xdr:row>
      <xdr:rowOff>0</xdr:rowOff>
    </xdr:from>
    <xdr:to>
      <xdr:col>6</xdr:col>
      <xdr:colOff>536612</xdr:colOff>
      <xdr:row>7</xdr:row>
      <xdr:rowOff>212816</xdr:rowOff>
    </xdr:to>
    <xdr:sp macro="" textlink="">
      <xdr:nvSpPr>
        <xdr:cNvPr id="46" name="Text Box 115">
          <a:extLst>
            <a:ext uri="{FF2B5EF4-FFF2-40B4-BE49-F238E27FC236}">
              <a16:creationId xmlns:a16="http://schemas.microsoft.com/office/drawing/2014/main" id="{D7FC66AD-4692-A04A-9DC1-FAB12D73572A}"/>
            </a:ext>
          </a:extLst>
        </xdr:cNvPr>
        <xdr:cNvSpPr txBox="1">
          <a:spLocks noChangeArrowheads="1"/>
        </xdr:cNvSpPr>
      </xdr:nvSpPr>
      <xdr:spPr bwMode="auto">
        <a:xfrm>
          <a:off x="5016500" y="21932900"/>
          <a:ext cx="536612" cy="212816"/>
        </a:xfrm>
        <a:prstGeom prst="rect">
          <a:avLst/>
        </a:prstGeom>
        <a:noFill/>
        <a:ln w="9525">
          <a:noFill/>
          <a:miter lim="800000"/>
          <a:headEnd/>
          <a:tailEnd/>
        </a:ln>
      </xdr:spPr>
      <xdr:txBody>
        <a:bodyPr vertOverflow="clip" wrap="square" lIns="27432" tIns="18288" rIns="0" bIns="0" anchor="t" upright="1"/>
        <a:lstStyle/>
        <a:p>
          <a:pPr algn="l" rtl="0">
            <a:defRPr sz="1000"/>
          </a:pPr>
          <a:r>
            <a:rPr lang="en-US" altLang="ja-JP" sz="1050" b="0" i="0" u="none" strike="noStrike" baseline="0">
              <a:solidFill>
                <a:srgbClr val="000000"/>
              </a:solidFill>
              <a:latin typeface="ＭＳ 明朝"/>
              <a:ea typeface="ＭＳ 明朝"/>
            </a:rPr>
            <a:t>(K①)</a:t>
          </a:r>
        </a:p>
      </xdr:txBody>
    </xdr:sp>
    <xdr:clientData/>
  </xdr:twoCellAnchor>
  <xdr:twoCellAnchor>
    <xdr:from>
      <xdr:col>5</xdr:col>
      <xdr:colOff>0</xdr:colOff>
      <xdr:row>7</xdr:row>
      <xdr:rowOff>0</xdr:rowOff>
    </xdr:from>
    <xdr:to>
      <xdr:col>5</xdr:col>
      <xdr:colOff>384226</xdr:colOff>
      <xdr:row>7</xdr:row>
      <xdr:rowOff>212816</xdr:rowOff>
    </xdr:to>
    <xdr:sp macro="" textlink="">
      <xdr:nvSpPr>
        <xdr:cNvPr id="47" name="Text Box 116">
          <a:extLst>
            <a:ext uri="{FF2B5EF4-FFF2-40B4-BE49-F238E27FC236}">
              <a16:creationId xmlns:a16="http://schemas.microsoft.com/office/drawing/2014/main" id="{CDF73A19-FE16-0B42-A404-73FD5A61C701}"/>
            </a:ext>
          </a:extLst>
        </xdr:cNvPr>
        <xdr:cNvSpPr txBox="1">
          <a:spLocks noChangeArrowheads="1"/>
        </xdr:cNvSpPr>
      </xdr:nvSpPr>
      <xdr:spPr bwMode="auto">
        <a:xfrm>
          <a:off x="4203700" y="21932900"/>
          <a:ext cx="384226" cy="212816"/>
        </a:xfrm>
        <a:prstGeom prst="rect">
          <a:avLst/>
        </a:prstGeom>
        <a:noFill/>
        <a:ln w="9525">
          <a:noFill/>
          <a:miter lim="800000"/>
          <a:headEnd/>
          <a:tailEnd/>
        </a:ln>
      </xdr:spPr>
      <xdr:txBody>
        <a:bodyPr vertOverflow="clip" wrap="square" lIns="27432" tIns="18288" rIns="0" bIns="0" anchor="t" upright="1"/>
        <a:lstStyle/>
        <a:p>
          <a:pPr algn="l" rtl="0">
            <a:defRPr sz="1000"/>
          </a:pPr>
          <a:r>
            <a:rPr lang="en-US" altLang="ja-JP" sz="1050" b="0" i="0" u="none" strike="noStrike" baseline="0">
              <a:solidFill>
                <a:srgbClr val="000000"/>
              </a:solidFill>
              <a:latin typeface="ＭＳ 明朝"/>
              <a:ea typeface="ＭＳ 明朝"/>
            </a:rPr>
            <a:t>(k2)</a:t>
          </a:r>
        </a:p>
      </xdr:txBody>
    </xdr:sp>
    <xdr:clientData/>
  </xdr:twoCellAnchor>
  <xdr:twoCellAnchor>
    <xdr:from>
      <xdr:col>1</xdr:col>
      <xdr:colOff>0</xdr:colOff>
      <xdr:row>15</xdr:row>
      <xdr:rowOff>0</xdr:rowOff>
    </xdr:from>
    <xdr:to>
      <xdr:col>1</xdr:col>
      <xdr:colOff>593758</xdr:colOff>
      <xdr:row>15</xdr:row>
      <xdr:rowOff>219075</xdr:rowOff>
    </xdr:to>
    <xdr:sp macro="" textlink="">
      <xdr:nvSpPr>
        <xdr:cNvPr id="48" name="Text Box 118">
          <a:extLst>
            <a:ext uri="{FF2B5EF4-FFF2-40B4-BE49-F238E27FC236}">
              <a16:creationId xmlns:a16="http://schemas.microsoft.com/office/drawing/2014/main" id="{EB3458EE-96BF-4040-AE67-4AF0425DE243}"/>
            </a:ext>
          </a:extLst>
        </xdr:cNvPr>
        <xdr:cNvSpPr txBox="1">
          <a:spLocks noChangeArrowheads="1"/>
        </xdr:cNvSpPr>
      </xdr:nvSpPr>
      <xdr:spPr bwMode="auto">
        <a:xfrm>
          <a:off x="342900" y="24485600"/>
          <a:ext cx="593758" cy="219075"/>
        </a:xfrm>
        <a:prstGeom prst="rect">
          <a:avLst/>
        </a:prstGeom>
        <a:noFill/>
        <a:ln w="9525">
          <a:noFill/>
          <a:miter lim="800000"/>
          <a:headEnd/>
          <a:tailEnd/>
        </a:ln>
      </xdr:spPr>
      <xdr:txBody>
        <a:bodyPr vertOverflow="clip" wrap="square" lIns="27432" tIns="18288" rIns="0" bIns="0" anchor="t" upright="1"/>
        <a:lstStyle/>
        <a:p>
          <a:pPr algn="l" rtl="0">
            <a:defRPr sz="1000"/>
          </a:pPr>
          <a:r>
            <a:rPr lang="en-US" altLang="ja-JP" sz="1050" b="0" i="0" u="none" strike="noStrike" baseline="0">
              <a:solidFill>
                <a:srgbClr val="000000"/>
              </a:solidFill>
              <a:latin typeface="ＭＳ 明朝"/>
              <a:ea typeface="ＭＳ 明朝"/>
            </a:rPr>
            <a:t>(K①)</a:t>
          </a:r>
        </a:p>
      </xdr:txBody>
    </xdr:sp>
    <xdr:clientData/>
  </xdr:twoCellAnchor>
  <xdr:twoCellAnchor>
    <xdr:from>
      <xdr:col>3</xdr:col>
      <xdr:colOff>0</xdr:colOff>
      <xdr:row>15</xdr:row>
      <xdr:rowOff>0</xdr:rowOff>
    </xdr:from>
    <xdr:to>
      <xdr:col>3</xdr:col>
      <xdr:colOff>536612</xdr:colOff>
      <xdr:row>15</xdr:row>
      <xdr:rowOff>219075</xdr:rowOff>
    </xdr:to>
    <xdr:sp macro="" textlink="">
      <xdr:nvSpPr>
        <xdr:cNvPr id="49" name="Text Box 119">
          <a:extLst>
            <a:ext uri="{FF2B5EF4-FFF2-40B4-BE49-F238E27FC236}">
              <a16:creationId xmlns:a16="http://schemas.microsoft.com/office/drawing/2014/main" id="{7C47E48C-7533-A248-BF9E-2A885B1D0D8F}"/>
            </a:ext>
          </a:extLst>
        </xdr:cNvPr>
        <xdr:cNvSpPr txBox="1">
          <a:spLocks noChangeArrowheads="1"/>
        </xdr:cNvSpPr>
      </xdr:nvSpPr>
      <xdr:spPr bwMode="auto">
        <a:xfrm>
          <a:off x="2501900" y="24485600"/>
          <a:ext cx="536612" cy="219075"/>
        </a:xfrm>
        <a:prstGeom prst="rect">
          <a:avLst/>
        </a:prstGeom>
        <a:noFill/>
        <a:ln w="9525">
          <a:noFill/>
          <a:miter lim="800000"/>
          <a:headEnd/>
          <a:tailEnd/>
        </a:ln>
      </xdr:spPr>
      <xdr:txBody>
        <a:bodyPr vertOverflow="clip" wrap="square" lIns="27432" tIns="18288" rIns="0" bIns="0" anchor="t" upright="1"/>
        <a:lstStyle/>
        <a:p>
          <a:pPr algn="l" rtl="0">
            <a:defRPr sz="1000"/>
          </a:pPr>
          <a:r>
            <a:rPr lang="en-US" altLang="ja-JP" sz="1050" b="0" i="0" u="none" strike="noStrike" baseline="0">
              <a:solidFill>
                <a:srgbClr val="000000"/>
              </a:solidFill>
              <a:latin typeface="ＭＳ 明朝"/>
              <a:ea typeface="ＭＳ 明朝"/>
            </a:rPr>
            <a:t>(k4)</a:t>
          </a:r>
        </a:p>
      </xdr:txBody>
    </xdr:sp>
    <xdr:clientData/>
  </xdr:twoCellAnchor>
  <xdr:twoCellAnchor>
    <xdr:from>
      <xdr:col>6</xdr:col>
      <xdr:colOff>0</xdr:colOff>
      <xdr:row>15</xdr:row>
      <xdr:rowOff>0</xdr:rowOff>
    </xdr:from>
    <xdr:to>
      <xdr:col>6</xdr:col>
      <xdr:colOff>536612</xdr:colOff>
      <xdr:row>15</xdr:row>
      <xdr:rowOff>219075</xdr:rowOff>
    </xdr:to>
    <xdr:sp macro="" textlink="">
      <xdr:nvSpPr>
        <xdr:cNvPr id="50" name="Text Box 120">
          <a:extLst>
            <a:ext uri="{FF2B5EF4-FFF2-40B4-BE49-F238E27FC236}">
              <a16:creationId xmlns:a16="http://schemas.microsoft.com/office/drawing/2014/main" id="{A7EEE710-89B7-6344-8027-DB1C5AB597E5}"/>
            </a:ext>
          </a:extLst>
        </xdr:cNvPr>
        <xdr:cNvSpPr txBox="1">
          <a:spLocks noChangeArrowheads="1"/>
        </xdr:cNvSpPr>
      </xdr:nvSpPr>
      <xdr:spPr bwMode="auto">
        <a:xfrm>
          <a:off x="5016500" y="24485600"/>
          <a:ext cx="536612" cy="219075"/>
        </a:xfrm>
        <a:prstGeom prst="rect">
          <a:avLst/>
        </a:prstGeom>
        <a:noFill/>
        <a:ln w="9525">
          <a:noFill/>
          <a:miter lim="800000"/>
          <a:headEnd/>
          <a:tailEnd/>
        </a:ln>
      </xdr:spPr>
      <xdr:txBody>
        <a:bodyPr vertOverflow="clip" wrap="square" lIns="27432" tIns="18288" rIns="0" bIns="0" anchor="t" upright="1"/>
        <a:lstStyle/>
        <a:p>
          <a:pPr algn="l" rtl="0">
            <a:defRPr sz="1000"/>
          </a:pPr>
          <a:r>
            <a:rPr lang="en-US" altLang="ja-JP" sz="1050" b="0" i="0" u="none" strike="noStrike" baseline="0">
              <a:solidFill>
                <a:srgbClr val="000000"/>
              </a:solidFill>
              <a:latin typeface="ＭＳ 明朝"/>
              <a:ea typeface="ＭＳ 明朝"/>
            </a:rPr>
            <a:t>(K</a:t>
          </a:r>
          <a:r>
            <a:rPr lang="ja-JP" altLang="en-US" sz="1050" b="0" i="0" u="none" strike="noStrike" baseline="0">
              <a:solidFill>
                <a:srgbClr val="000000"/>
              </a:solidFill>
              <a:latin typeface="ＭＳ 明朝"/>
              <a:ea typeface="ＭＳ 明朝"/>
            </a:rPr>
            <a:t>③</a:t>
          </a:r>
          <a:r>
            <a:rPr lang="en-US" altLang="ja-JP" sz="1050" b="0" i="0" u="none" strike="noStrike" baseline="0">
              <a:solidFill>
                <a:srgbClr val="000000"/>
              </a:solidFill>
              <a:latin typeface="ＭＳ 明朝"/>
              <a:ea typeface="ＭＳ 明朝"/>
            </a:rPr>
            <a:t>)</a:t>
          </a:r>
        </a:p>
      </xdr:txBody>
    </xdr:sp>
    <xdr:clientData/>
  </xdr:twoCellAnchor>
  <xdr:twoCellAnchor>
    <xdr:from>
      <xdr:col>1</xdr:col>
      <xdr:colOff>0</xdr:colOff>
      <xdr:row>24</xdr:row>
      <xdr:rowOff>0</xdr:rowOff>
    </xdr:from>
    <xdr:to>
      <xdr:col>1</xdr:col>
      <xdr:colOff>381000</xdr:colOff>
      <xdr:row>24</xdr:row>
      <xdr:rowOff>200025</xdr:rowOff>
    </xdr:to>
    <xdr:sp macro="" textlink="">
      <xdr:nvSpPr>
        <xdr:cNvPr id="51" name="Text Box 122">
          <a:extLst>
            <a:ext uri="{FF2B5EF4-FFF2-40B4-BE49-F238E27FC236}">
              <a16:creationId xmlns:a16="http://schemas.microsoft.com/office/drawing/2014/main" id="{B3164643-FA06-E141-A2E7-D53BE68EF9D6}"/>
            </a:ext>
          </a:extLst>
        </xdr:cNvPr>
        <xdr:cNvSpPr txBox="1">
          <a:spLocks noChangeArrowheads="1"/>
        </xdr:cNvSpPr>
      </xdr:nvSpPr>
      <xdr:spPr bwMode="auto">
        <a:xfrm>
          <a:off x="342900" y="27228800"/>
          <a:ext cx="381000" cy="200025"/>
        </a:xfrm>
        <a:prstGeom prst="rect">
          <a:avLst/>
        </a:prstGeom>
        <a:noFill/>
        <a:ln w="9525">
          <a:noFill/>
          <a:miter lim="800000"/>
          <a:headEnd/>
          <a:tailEnd/>
        </a:ln>
      </xdr:spPr>
      <xdr:txBody>
        <a:bodyPr vertOverflow="clip" wrap="square" lIns="27432" tIns="18288" rIns="0" bIns="0" anchor="t" upright="1"/>
        <a:lstStyle/>
        <a:p>
          <a:pPr algn="l" rtl="0">
            <a:defRPr sz="1000"/>
          </a:pPr>
          <a:r>
            <a:rPr lang="en-US" altLang="ja-JP" sz="1050" b="0" i="0" u="none" strike="noStrike" baseline="0">
              <a:solidFill>
                <a:srgbClr val="000000"/>
              </a:solidFill>
              <a:latin typeface="ＭＳ 明朝"/>
              <a:ea typeface="ＭＳ 明朝"/>
            </a:rPr>
            <a:t>(B)</a:t>
          </a:r>
        </a:p>
      </xdr:txBody>
    </xdr:sp>
    <xdr:clientData/>
  </xdr:twoCellAnchor>
  <xdr:twoCellAnchor>
    <xdr:from>
      <xdr:col>3</xdr:col>
      <xdr:colOff>0</xdr:colOff>
      <xdr:row>24</xdr:row>
      <xdr:rowOff>0</xdr:rowOff>
    </xdr:from>
    <xdr:to>
      <xdr:col>3</xdr:col>
      <xdr:colOff>536612</xdr:colOff>
      <xdr:row>24</xdr:row>
      <xdr:rowOff>219075</xdr:rowOff>
    </xdr:to>
    <xdr:sp macro="" textlink="">
      <xdr:nvSpPr>
        <xdr:cNvPr id="52" name="Text Box 123">
          <a:extLst>
            <a:ext uri="{FF2B5EF4-FFF2-40B4-BE49-F238E27FC236}">
              <a16:creationId xmlns:a16="http://schemas.microsoft.com/office/drawing/2014/main" id="{4544E03A-A53B-634C-863D-4BC6C87E54D1}"/>
            </a:ext>
          </a:extLst>
        </xdr:cNvPr>
        <xdr:cNvSpPr txBox="1">
          <a:spLocks noChangeArrowheads="1"/>
        </xdr:cNvSpPr>
      </xdr:nvSpPr>
      <xdr:spPr bwMode="auto">
        <a:xfrm>
          <a:off x="2501900" y="27228800"/>
          <a:ext cx="536612" cy="219075"/>
        </a:xfrm>
        <a:prstGeom prst="rect">
          <a:avLst/>
        </a:prstGeom>
        <a:noFill/>
        <a:ln w="9525">
          <a:noFill/>
          <a:miter lim="800000"/>
          <a:headEnd/>
          <a:tailEnd/>
        </a:ln>
      </xdr:spPr>
      <xdr:txBody>
        <a:bodyPr vertOverflow="clip" wrap="square" lIns="27432" tIns="18288" rIns="0" bIns="0" anchor="t" upright="1"/>
        <a:lstStyle/>
        <a:p>
          <a:pPr algn="l" rtl="0">
            <a:defRPr sz="1000"/>
          </a:pPr>
          <a:r>
            <a:rPr lang="en-US" altLang="ja-JP" sz="1050" b="0" i="0" u="none" strike="noStrike" baseline="0">
              <a:solidFill>
                <a:srgbClr val="000000"/>
              </a:solidFill>
              <a:latin typeface="ＭＳ 明朝"/>
              <a:ea typeface="ＭＳ 明朝"/>
            </a:rPr>
            <a:t>(l1)</a:t>
          </a:r>
        </a:p>
      </xdr:txBody>
    </xdr:sp>
    <xdr:clientData/>
  </xdr:twoCellAnchor>
  <xdr:twoCellAnchor>
    <xdr:from>
      <xdr:col>6</xdr:col>
      <xdr:colOff>0</xdr:colOff>
      <xdr:row>24</xdr:row>
      <xdr:rowOff>0</xdr:rowOff>
    </xdr:from>
    <xdr:to>
      <xdr:col>6</xdr:col>
      <xdr:colOff>536612</xdr:colOff>
      <xdr:row>24</xdr:row>
      <xdr:rowOff>219075</xdr:rowOff>
    </xdr:to>
    <xdr:sp macro="" textlink="">
      <xdr:nvSpPr>
        <xdr:cNvPr id="53" name="Text Box 124">
          <a:extLst>
            <a:ext uri="{FF2B5EF4-FFF2-40B4-BE49-F238E27FC236}">
              <a16:creationId xmlns:a16="http://schemas.microsoft.com/office/drawing/2014/main" id="{0D0C58C8-CE1F-CF48-B336-401D3D6E1B96}"/>
            </a:ext>
          </a:extLst>
        </xdr:cNvPr>
        <xdr:cNvSpPr txBox="1">
          <a:spLocks noChangeArrowheads="1"/>
        </xdr:cNvSpPr>
      </xdr:nvSpPr>
      <xdr:spPr bwMode="auto">
        <a:xfrm>
          <a:off x="5016500" y="27228800"/>
          <a:ext cx="536612" cy="219075"/>
        </a:xfrm>
        <a:prstGeom prst="rect">
          <a:avLst/>
        </a:prstGeom>
        <a:noFill/>
        <a:ln w="9525">
          <a:noFill/>
          <a:miter lim="800000"/>
          <a:headEnd/>
          <a:tailEnd/>
        </a:ln>
      </xdr:spPr>
      <xdr:txBody>
        <a:bodyPr vertOverflow="clip" wrap="square" lIns="27432" tIns="18288" rIns="0" bIns="0" anchor="t" upright="1"/>
        <a:lstStyle/>
        <a:p>
          <a:pPr algn="l" rtl="0">
            <a:defRPr sz="1000"/>
          </a:pPr>
          <a:r>
            <a:rPr lang="en-US" altLang="ja-JP" sz="1050" b="0" i="0" u="none" strike="noStrike" baseline="0">
              <a:solidFill>
                <a:srgbClr val="000000"/>
              </a:solidFill>
              <a:latin typeface="ＭＳ 明朝"/>
              <a:ea typeface="ＭＳ 明朝"/>
            </a:rPr>
            <a:t>(L)</a:t>
          </a:r>
        </a:p>
      </xdr:txBody>
    </xdr:sp>
    <xdr:clientData/>
  </xdr:twoCellAnchor>
  <xdr:twoCellAnchor>
    <xdr:from>
      <xdr:col>3</xdr:col>
      <xdr:colOff>0</xdr:colOff>
      <xdr:row>11</xdr:row>
      <xdr:rowOff>0</xdr:rowOff>
    </xdr:from>
    <xdr:to>
      <xdr:col>3</xdr:col>
      <xdr:colOff>536612</xdr:colOff>
      <xdr:row>11</xdr:row>
      <xdr:rowOff>219075</xdr:rowOff>
    </xdr:to>
    <xdr:sp macro="" textlink="">
      <xdr:nvSpPr>
        <xdr:cNvPr id="56" name="Text Box 114">
          <a:extLst>
            <a:ext uri="{FF2B5EF4-FFF2-40B4-BE49-F238E27FC236}">
              <a16:creationId xmlns:a16="http://schemas.microsoft.com/office/drawing/2014/main" id="{01885306-402E-784F-8FB9-C505526751AB}"/>
            </a:ext>
          </a:extLst>
        </xdr:cNvPr>
        <xdr:cNvSpPr txBox="1">
          <a:spLocks noChangeArrowheads="1"/>
        </xdr:cNvSpPr>
      </xdr:nvSpPr>
      <xdr:spPr bwMode="auto">
        <a:xfrm>
          <a:off x="2501900" y="23266400"/>
          <a:ext cx="536612" cy="219075"/>
        </a:xfrm>
        <a:prstGeom prst="rect">
          <a:avLst/>
        </a:prstGeom>
        <a:noFill/>
        <a:ln w="9525">
          <a:noFill/>
          <a:miter lim="800000"/>
          <a:headEnd/>
          <a:tailEnd/>
        </a:ln>
      </xdr:spPr>
      <xdr:txBody>
        <a:bodyPr vertOverflow="clip" wrap="square" lIns="27432" tIns="18288" rIns="0" bIns="0" anchor="t" upright="1"/>
        <a:lstStyle/>
        <a:p>
          <a:pPr algn="l" rtl="0">
            <a:defRPr sz="1000"/>
          </a:pPr>
          <a:r>
            <a:rPr lang="en-US" altLang="ja-JP" sz="1050" b="0" i="0" u="none" strike="noStrike" baseline="0">
              <a:solidFill>
                <a:srgbClr val="000000"/>
              </a:solidFill>
              <a:latin typeface="ＭＳ 明朝"/>
              <a:ea typeface="ＭＳ 明朝"/>
            </a:rPr>
            <a:t>(k3)</a:t>
          </a:r>
        </a:p>
      </xdr:txBody>
    </xdr:sp>
    <xdr:clientData/>
  </xdr:twoCellAnchor>
  <xdr:twoCellAnchor>
    <xdr:from>
      <xdr:col>6</xdr:col>
      <xdr:colOff>0</xdr:colOff>
      <xdr:row>11</xdr:row>
      <xdr:rowOff>0</xdr:rowOff>
    </xdr:from>
    <xdr:to>
      <xdr:col>6</xdr:col>
      <xdr:colOff>536612</xdr:colOff>
      <xdr:row>11</xdr:row>
      <xdr:rowOff>219075</xdr:rowOff>
    </xdr:to>
    <xdr:sp macro="" textlink="">
      <xdr:nvSpPr>
        <xdr:cNvPr id="57" name="Text Box 115">
          <a:extLst>
            <a:ext uri="{FF2B5EF4-FFF2-40B4-BE49-F238E27FC236}">
              <a16:creationId xmlns:a16="http://schemas.microsoft.com/office/drawing/2014/main" id="{13B9C949-6037-6741-B22D-95FBBF50A26C}"/>
            </a:ext>
          </a:extLst>
        </xdr:cNvPr>
        <xdr:cNvSpPr txBox="1">
          <a:spLocks noChangeArrowheads="1"/>
        </xdr:cNvSpPr>
      </xdr:nvSpPr>
      <xdr:spPr bwMode="auto">
        <a:xfrm>
          <a:off x="5016500" y="23266400"/>
          <a:ext cx="536612" cy="219075"/>
        </a:xfrm>
        <a:prstGeom prst="rect">
          <a:avLst/>
        </a:prstGeom>
        <a:noFill/>
        <a:ln w="9525">
          <a:noFill/>
          <a:miter lim="800000"/>
          <a:headEnd/>
          <a:tailEnd/>
        </a:ln>
      </xdr:spPr>
      <xdr:txBody>
        <a:bodyPr vertOverflow="clip" wrap="square" lIns="27432" tIns="18288" rIns="0" bIns="0" anchor="t" upright="1"/>
        <a:lstStyle/>
        <a:p>
          <a:pPr algn="l" rtl="0">
            <a:defRPr sz="1000"/>
          </a:pPr>
          <a:r>
            <a:rPr lang="en-US" altLang="ja-JP" sz="1050" b="0" i="0" u="none" strike="noStrike" baseline="0">
              <a:solidFill>
                <a:srgbClr val="000000"/>
              </a:solidFill>
              <a:latin typeface="ＭＳ 明朝"/>
              <a:ea typeface="ＭＳ 明朝"/>
            </a:rPr>
            <a:t>(K</a:t>
          </a:r>
          <a:r>
            <a:rPr lang="ja-JP" altLang="en-US" sz="1050" b="0" i="0" u="none" strike="noStrike" baseline="0">
              <a:solidFill>
                <a:srgbClr val="000000"/>
              </a:solidFill>
              <a:latin typeface="ＭＳ 明朝"/>
              <a:ea typeface="ＭＳ 明朝"/>
            </a:rPr>
            <a:t>②</a:t>
          </a:r>
          <a:r>
            <a:rPr lang="en-US" altLang="ja-JP" sz="1050" b="0" i="0" u="none" strike="noStrike" baseline="0">
              <a:solidFill>
                <a:srgbClr val="000000"/>
              </a:solidFill>
              <a:latin typeface="ＭＳ 明朝"/>
              <a:ea typeface="ＭＳ 明朝"/>
            </a:rPr>
            <a:t>)</a:t>
          </a:r>
        </a:p>
      </xdr:txBody>
    </xdr:sp>
    <xdr:clientData/>
  </xdr:twoCellAnchor>
  <xdr:twoCellAnchor>
    <xdr:from>
      <xdr:col>1</xdr:col>
      <xdr:colOff>19050</xdr:colOff>
      <xdr:row>11</xdr:row>
      <xdr:rowOff>12700</xdr:rowOff>
    </xdr:from>
    <xdr:to>
      <xdr:col>1</xdr:col>
      <xdr:colOff>612808</xdr:colOff>
      <xdr:row>11</xdr:row>
      <xdr:rowOff>231775</xdr:rowOff>
    </xdr:to>
    <xdr:sp macro="" textlink="">
      <xdr:nvSpPr>
        <xdr:cNvPr id="59" name="Text Box 118">
          <a:extLst>
            <a:ext uri="{FF2B5EF4-FFF2-40B4-BE49-F238E27FC236}">
              <a16:creationId xmlns:a16="http://schemas.microsoft.com/office/drawing/2014/main" id="{D8572B8C-8F55-AD47-8204-8763A6DD5F27}"/>
            </a:ext>
          </a:extLst>
        </xdr:cNvPr>
        <xdr:cNvSpPr txBox="1">
          <a:spLocks noChangeArrowheads="1"/>
        </xdr:cNvSpPr>
      </xdr:nvSpPr>
      <xdr:spPr bwMode="auto">
        <a:xfrm>
          <a:off x="400050" y="3448050"/>
          <a:ext cx="593758" cy="219075"/>
        </a:xfrm>
        <a:prstGeom prst="rect">
          <a:avLst/>
        </a:prstGeom>
        <a:noFill/>
        <a:ln w="9525">
          <a:noFill/>
          <a:miter lim="800000"/>
          <a:headEnd/>
          <a:tailEnd/>
        </a:ln>
      </xdr:spPr>
      <xdr:txBody>
        <a:bodyPr vertOverflow="clip" wrap="square" lIns="27432" tIns="18288" rIns="0" bIns="0" anchor="t" upright="1"/>
        <a:lstStyle/>
        <a:p>
          <a:pPr algn="l" rtl="0">
            <a:defRPr sz="1000"/>
          </a:pPr>
          <a:r>
            <a:rPr lang="en-US" altLang="ja-JP" sz="1050" b="0" i="0" u="none" strike="noStrike" baseline="0">
              <a:solidFill>
                <a:srgbClr val="000000"/>
              </a:solidFill>
              <a:latin typeface="ＭＳ 明朝"/>
              <a:ea typeface="ＭＳ 明朝"/>
            </a:rPr>
            <a:t>(K①)</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9</xdr:col>
      <xdr:colOff>444500</xdr:colOff>
      <xdr:row>8</xdr:row>
      <xdr:rowOff>105834</xdr:rowOff>
    </xdr:from>
    <xdr:to>
      <xdr:col>14</xdr:col>
      <xdr:colOff>888999</xdr:colOff>
      <xdr:row>19</xdr:row>
      <xdr:rowOff>105834</xdr:rowOff>
    </xdr:to>
    <xdr:graphicFrame macro="">
      <xdr:nvGraphicFramePr>
        <xdr:cNvPr id="5" name="グラフ 4">
          <a:extLst>
            <a:ext uri="{FF2B5EF4-FFF2-40B4-BE49-F238E27FC236}">
              <a16:creationId xmlns:a16="http://schemas.microsoft.com/office/drawing/2014/main" id="{3D1BF820-41D5-D507-DF4A-E5BFE5D097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9</xdr:col>
      <xdr:colOff>26459</xdr:colOff>
      <xdr:row>4</xdr:row>
      <xdr:rowOff>4232</xdr:rowOff>
    </xdr:from>
    <xdr:to>
      <xdr:col>13</xdr:col>
      <xdr:colOff>185209</xdr:colOff>
      <xdr:row>14</xdr:row>
      <xdr:rowOff>406399</xdr:rowOff>
    </xdr:to>
    <xdr:graphicFrame macro="">
      <xdr:nvGraphicFramePr>
        <xdr:cNvPr id="2" name="グラフ 1">
          <a:extLst>
            <a:ext uri="{FF2B5EF4-FFF2-40B4-BE49-F238E27FC236}">
              <a16:creationId xmlns:a16="http://schemas.microsoft.com/office/drawing/2014/main" id="{D846B853-034F-B2D9-2B9D-43E76CBA97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42334</xdr:colOff>
      <xdr:row>18</xdr:row>
      <xdr:rowOff>285751</xdr:rowOff>
    </xdr:from>
    <xdr:to>
      <xdr:col>13</xdr:col>
      <xdr:colOff>201084</xdr:colOff>
      <xdr:row>29</xdr:row>
      <xdr:rowOff>349250</xdr:rowOff>
    </xdr:to>
    <xdr:graphicFrame macro="">
      <xdr:nvGraphicFramePr>
        <xdr:cNvPr id="3" name="グラフ 2">
          <a:extLst>
            <a:ext uri="{FF2B5EF4-FFF2-40B4-BE49-F238E27FC236}">
              <a16:creationId xmlns:a16="http://schemas.microsoft.com/office/drawing/2014/main" id="{3E992A70-D116-3848-9B82-99248223BB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161925</xdr:colOff>
      <xdr:row>18</xdr:row>
      <xdr:rowOff>0</xdr:rowOff>
    </xdr:from>
    <xdr:to>
      <xdr:col>5</xdr:col>
      <xdr:colOff>0</xdr:colOff>
      <xdr:row>18</xdr:row>
      <xdr:rowOff>0</xdr:rowOff>
    </xdr:to>
    <xdr:sp macro="" textlink="">
      <xdr:nvSpPr>
        <xdr:cNvPr id="2" name="Line 1">
          <a:extLst>
            <a:ext uri="{FF2B5EF4-FFF2-40B4-BE49-F238E27FC236}">
              <a16:creationId xmlns:a16="http://schemas.microsoft.com/office/drawing/2014/main" id="{C65A2138-D611-1841-AE9E-8D68186B0608}"/>
            </a:ext>
          </a:extLst>
        </xdr:cNvPr>
        <xdr:cNvSpPr>
          <a:spLocks noChangeShapeType="1"/>
        </xdr:cNvSpPr>
      </xdr:nvSpPr>
      <xdr:spPr bwMode="auto">
        <a:xfrm>
          <a:off x="1025525" y="4800600"/>
          <a:ext cx="96837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161925</xdr:colOff>
      <xdr:row>18</xdr:row>
      <xdr:rowOff>0</xdr:rowOff>
    </xdr:from>
    <xdr:to>
      <xdr:col>5</xdr:col>
      <xdr:colOff>0</xdr:colOff>
      <xdr:row>18</xdr:row>
      <xdr:rowOff>0</xdr:rowOff>
    </xdr:to>
    <xdr:sp macro="" textlink="">
      <xdr:nvSpPr>
        <xdr:cNvPr id="3" name="Line 15">
          <a:extLst>
            <a:ext uri="{FF2B5EF4-FFF2-40B4-BE49-F238E27FC236}">
              <a16:creationId xmlns:a16="http://schemas.microsoft.com/office/drawing/2014/main" id="{386E7E78-CFE4-744C-A509-4FD050BD703E}"/>
            </a:ext>
          </a:extLst>
        </xdr:cNvPr>
        <xdr:cNvSpPr>
          <a:spLocks noChangeShapeType="1"/>
        </xdr:cNvSpPr>
      </xdr:nvSpPr>
      <xdr:spPr bwMode="auto">
        <a:xfrm>
          <a:off x="1025525" y="4800600"/>
          <a:ext cx="96837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161925</xdr:colOff>
      <xdr:row>18</xdr:row>
      <xdr:rowOff>0</xdr:rowOff>
    </xdr:from>
    <xdr:to>
      <xdr:col>5</xdr:col>
      <xdr:colOff>0</xdr:colOff>
      <xdr:row>18</xdr:row>
      <xdr:rowOff>0</xdr:rowOff>
    </xdr:to>
    <xdr:sp macro="" textlink="">
      <xdr:nvSpPr>
        <xdr:cNvPr id="4" name="Line 16">
          <a:extLst>
            <a:ext uri="{FF2B5EF4-FFF2-40B4-BE49-F238E27FC236}">
              <a16:creationId xmlns:a16="http://schemas.microsoft.com/office/drawing/2014/main" id="{563299F6-3CC7-F049-85FE-128D951D3FA5}"/>
            </a:ext>
          </a:extLst>
        </xdr:cNvPr>
        <xdr:cNvSpPr>
          <a:spLocks noChangeShapeType="1"/>
        </xdr:cNvSpPr>
      </xdr:nvSpPr>
      <xdr:spPr bwMode="auto">
        <a:xfrm>
          <a:off x="1025525" y="4800600"/>
          <a:ext cx="96837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8.xml><?xml version="1.0" encoding="utf-8"?>
<xdr:wsDr xmlns:xdr="http://schemas.openxmlformats.org/drawingml/2006/spreadsheetDrawing" xmlns:a="http://schemas.openxmlformats.org/drawingml/2006/main">
  <xdr:twoCellAnchor>
    <xdr:from>
      <xdr:col>8</xdr:col>
      <xdr:colOff>19539</xdr:colOff>
      <xdr:row>8</xdr:row>
      <xdr:rowOff>19539</xdr:rowOff>
    </xdr:from>
    <xdr:to>
      <xdr:col>13</xdr:col>
      <xdr:colOff>0</xdr:colOff>
      <xdr:row>14</xdr:row>
      <xdr:rowOff>48846</xdr:rowOff>
    </xdr:to>
    <xdr:sp macro="" textlink="">
      <xdr:nvSpPr>
        <xdr:cNvPr id="2" name="テキスト ボックス 1">
          <a:extLst>
            <a:ext uri="{FF2B5EF4-FFF2-40B4-BE49-F238E27FC236}">
              <a16:creationId xmlns:a16="http://schemas.microsoft.com/office/drawing/2014/main" id="{7515EBC0-FB8B-2AC2-9D2E-40AD69D25662}"/>
            </a:ext>
          </a:extLst>
        </xdr:cNvPr>
        <xdr:cNvSpPr txBox="1"/>
      </xdr:nvSpPr>
      <xdr:spPr>
        <a:xfrm>
          <a:off x="5558693" y="1992924"/>
          <a:ext cx="4865076" cy="1553307"/>
        </a:xfrm>
        <a:prstGeom prst="rect">
          <a:avLst/>
        </a:prstGeom>
        <a:ln/>
      </xdr:spPr>
      <xdr:style>
        <a:lnRef idx="2">
          <a:schemeClr val="accent4"/>
        </a:lnRef>
        <a:fillRef idx="1">
          <a:schemeClr val="lt1"/>
        </a:fillRef>
        <a:effectRef idx="0">
          <a:schemeClr val="accent4"/>
        </a:effectRef>
        <a:fontRef idx="minor">
          <a:schemeClr val="dk1"/>
        </a:fontRef>
      </xdr:style>
      <xdr:txBody>
        <a:bodyPr vertOverflow="clip" horzOverflow="clip" wrap="square" rtlCol="0" anchor="t"/>
        <a:lstStyle/>
        <a:p>
          <a:r>
            <a:rPr kumimoji="1" lang="en-US" altLang="ja-JP" sz="1100" b="0" i="0">
              <a:latin typeface="Meiryo UI" panose="020B0604030504040204" pitchFamily="34" charset="-128"/>
              <a:ea typeface="Meiryo UI" panose="020B0604030504040204" pitchFamily="34" charset="-128"/>
            </a:rPr>
            <a:t>①</a:t>
          </a:r>
          <a:r>
            <a:rPr kumimoji="1" lang="ja-JP" altLang="en-US" sz="1100" b="0" i="0">
              <a:latin typeface="Meiryo UI" panose="020B0604030504040204" pitchFamily="34" charset="-128"/>
              <a:ea typeface="Meiryo UI" panose="020B0604030504040204" pitchFamily="34" charset="-128"/>
            </a:rPr>
            <a:t>ゴールシークで「数式入力セル」を</a:t>
          </a:r>
          <a:r>
            <a:rPr kumimoji="1" lang="en" altLang="ja-JP" sz="1100" b="0" i="0">
              <a:latin typeface="Meiryo UI" panose="020B0604030504040204" pitchFamily="34" charset="-128"/>
              <a:ea typeface="Meiryo UI" panose="020B0604030504040204" pitchFamily="34" charset="-128"/>
            </a:rPr>
            <a:t>E30</a:t>
          </a:r>
          <a:r>
            <a:rPr kumimoji="1" lang="ja-JP" altLang="en" sz="1100" b="0" i="0">
              <a:latin typeface="Meiryo UI" panose="020B0604030504040204" pitchFamily="34" charset="-128"/>
              <a:ea typeface="Meiryo UI" panose="020B0604030504040204" pitchFamily="34" charset="-128"/>
            </a:rPr>
            <a:t>、</a:t>
          </a:r>
          <a:r>
            <a:rPr kumimoji="1" lang="ja-JP" altLang="en-US" sz="1100" b="0" i="0">
              <a:latin typeface="Meiryo UI" panose="020B0604030504040204" pitchFamily="34" charset="-128"/>
              <a:ea typeface="Meiryo UI" panose="020B0604030504040204" pitchFamily="34" charset="-128"/>
            </a:rPr>
            <a:t>目標値「</a:t>
          </a:r>
          <a:r>
            <a:rPr kumimoji="1" lang="en-US" altLang="ja-JP" sz="1100" b="0" i="0">
              <a:latin typeface="Meiryo UI" panose="020B0604030504040204" pitchFamily="34" charset="-128"/>
              <a:ea typeface="Meiryo UI" panose="020B0604030504040204" pitchFamily="34" charset="-128"/>
            </a:rPr>
            <a:t>0</a:t>
          </a:r>
          <a:r>
            <a:rPr kumimoji="1" lang="ja-JP" altLang="en-US" sz="1100" b="0" i="0">
              <a:latin typeface="Meiryo UI" panose="020B0604030504040204" pitchFamily="34" charset="-128"/>
              <a:ea typeface="Meiryo UI" panose="020B0604030504040204" pitchFamily="34" charset="-128"/>
            </a:rPr>
            <a:t>」、変化させるセルをモデル料金表の任意の一つのセルを指定</a:t>
          </a:r>
          <a:endParaRPr kumimoji="1" lang="en-US" altLang="ja-JP" sz="1100" b="0" i="0">
            <a:latin typeface="Meiryo UI" panose="020B0604030504040204" pitchFamily="34" charset="-128"/>
            <a:ea typeface="Meiryo UI" panose="020B0604030504040204" pitchFamily="34" charset="-128"/>
          </a:endParaRPr>
        </a:p>
        <a:p>
          <a:r>
            <a:rPr kumimoji="1" lang="en-US" altLang="ja-JP" sz="1100" b="0" i="0">
              <a:latin typeface="Meiryo UI" panose="020B0604030504040204" pitchFamily="34" charset="-128"/>
              <a:ea typeface="Meiryo UI" panose="020B0604030504040204" pitchFamily="34" charset="-128"/>
            </a:rPr>
            <a:t>②</a:t>
          </a:r>
          <a:r>
            <a:rPr kumimoji="1" lang="ja-JP" altLang="en-US" sz="1100" b="0" i="0">
              <a:latin typeface="Meiryo UI" panose="020B0604030504040204" pitchFamily="34" charset="-128"/>
              <a:ea typeface="Meiryo UI" panose="020B0604030504040204" pitchFamily="34" charset="-128"/>
            </a:rPr>
            <a:t>変化させるセル等、料金表の微調整を行い、ゴールシークで「数式入力セル」を</a:t>
          </a:r>
          <a:r>
            <a:rPr kumimoji="1" lang="en" altLang="ja-JP" sz="1100" b="0" i="0">
              <a:latin typeface="Meiryo UI" panose="020B0604030504040204" pitchFamily="34" charset="-128"/>
              <a:ea typeface="Meiryo UI" panose="020B0604030504040204" pitchFamily="34" charset="-128"/>
            </a:rPr>
            <a:t>E30</a:t>
          </a:r>
          <a:r>
            <a:rPr kumimoji="1" lang="ja-JP" altLang="en" sz="1100" b="0" i="0">
              <a:latin typeface="Meiryo UI" panose="020B0604030504040204" pitchFamily="34" charset="-128"/>
              <a:ea typeface="Meiryo UI" panose="020B0604030504040204" pitchFamily="34" charset="-128"/>
            </a:rPr>
            <a:t>、</a:t>
          </a:r>
          <a:r>
            <a:rPr kumimoji="1" lang="ja-JP" altLang="en-US" sz="1100" b="0" i="0">
              <a:latin typeface="Meiryo UI" panose="020B0604030504040204" pitchFamily="34" charset="-128"/>
              <a:ea typeface="Meiryo UI" panose="020B0604030504040204" pitchFamily="34" charset="-128"/>
            </a:rPr>
            <a:t>目標値「</a:t>
          </a:r>
          <a:r>
            <a:rPr kumimoji="1" lang="en-US" altLang="ja-JP" sz="1100" b="0" i="0">
              <a:latin typeface="Meiryo UI" panose="020B0604030504040204" pitchFamily="34" charset="-128"/>
              <a:ea typeface="Meiryo UI" panose="020B0604030504040204" pitchFamily="34" charset="-128"/>
            </a:rPr>
            <a:t>0</a:t>
          </a:r>
          <a:r>
            <a:rPr kumimoji="1" lang="ja-JP" altLang="en-US" sz="1100" b="0" i="0">
              <a:latin typeface="Meiryo UI" panose="020B0604030504040204" pitchFamily="34" charset="-128"/>
              <a:ea typeface="Meiryo UI" panose="020B0604030504040204" pitchFamily="34" charset="-128"/>
            </a:rPr>
            <a:t>」、変化させるセルを販売量シートの供給約款販売量</a:t>
          </a:r>
          <a:r>
            <a:rPr kumimoji="1" lang="en-US" altLang="ja-JP" sz="1100" b="0" i="0">
              <a:latin typeface="Meiryo UI" panose="020B0604030504040204" pitchFamily="34" charset="-128"/>
              <a:ea typeface="Meiryo UI" panose="020B0604030504040204" pitchFamily="34" charset="-128"/>
            </a:rPr>
            <a:t>12</a:t>
          </a:r>
          <a:r>
            <a:rPr kumimoji="1" lang="ja-JP" altLang="en-US" sz="1100" b="0" i="0">
              <a:latin typeface="Meiryo UI" panose="020B0604030504040204" pitchFamily="34" charset="-128"/>
              <a:ea typeface="Meiryo UI" panose="020B0604030504040204" pitchFamily="34" charset="-128"/>
            </a:rPr>
            <a:t>月に指定</a:t>
          </a:r>
          <a:endParaRPr kumimoji="1" lang="en-US" altLang="ja-JP" sz="1100" b="0" i="0">
            <a:latin typeface="Meiryo UI" panose="020B0604030504040204" pitchFamily="34" charset="-128"/>
            <a:ea typeface="Meiryo UI" panose="020B0604030504040204" pitchFamily="34" charset="-128"/>
          </a:endParaRPr>
        </a:p>
        <a:p>
          <a:r>
            <a:rPr kumimoji="1" lang="en-US" altLang="ja-JP" sz="1100" b="0" i="0">
              <a:solidFill>
                <a:srgbClr val="FF0000"/>
              </a:solidFill>
              <a:latin typeface="Meiryo UI" panose="020B0604030504040204" pitchFamily="34" charset="-128"/>
              <a:ea typeface="Meiryo UI" panose="020B0604030504040204" pitchFamily="34" charset="-128"/>
            </a:rPr>
            <a:t>※</a:t>
          </a:r>
          <a:r>
            <a:rPr kumimoji="1" lang="ja-JP" altLang="en-US" sz="1100" b="0" i="0">
              <a:solidFill>
                <a:srgbClr val="FF0000"/>
              </a:solidFill>
              <a:latin typeface="Meiryo UI" panose="020B0604030504040204" pitchFamily="34" charset="-128"/>
              <a:ea typeface="Meiryo UI" panose="020B0604030504040204" pitchFamily="34" charset="-128"/>
            </a:rPr>
            <a:t>販売量でアジャストする場合、標準係数は使えない</a:t>
          </a:r>
        </a:p>
      </xdr:txBody>
    </xdr:sp>
    <xdr:clientData/>
  </xdr:twoCellAnchor>
  <xdr:twoCellAnchor editAs="oneCell">
    <xdr:from>
      <xdr:col>4</xdr:col>
      <xdr:colOff>214923</xdr:colOff>
      <xdr:row>2</xdr:row>
      <xdr:rowOff>166077</xdr:rowOff>
    </xdr:from>
    <xdr:to>
      <xdr:col>5</xdr:col>
      <xdr:colOff>1118578</xdr:colOff>
      <xdr:row>7</xdr:row>
      <xdr:rowOff>39077</xdr:rowOff>
    </xdr:to>
    <xdr:pic>
      <xdr:nvPicPr>
        <xdr:cNvPr id="4" name="図 3">
          <a:extLst>
            <a:ext uri="{FF2B5EF4-FFF2-40B4-BE49-F238E27FC236}">
              <a16:creationId xmlns:a16="http://schemas.microsoft.com/office/drawing/2014/main" id="{B2E4D1F8-C1D0-D061-92F3-C4E4287349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05385" y="742462"/>
          <a:ext cx="2095501" cy="11430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12</xdr:col>
      <xdr:colOff>455083</xdr:colOff>
      <xdr:row>2</xdr:row>
      <xdr:rowOff>95250</xdr:rowOff>
    </xdr:from>
    <xdr:to>
      <xdr:col>17</xdr:col>
      <xdr:colOff>742931</xdr:colOff>
      <xdr:row>39</xdr:row>
      <xdr:rowOff>162983</xdr:rowOff>
    </xdr:to>
    <xdr:pic>
      <xdr:nvPicPr>
        <xdr:cNvPr id="2" name="図 1">
          <a:extLst>
            <a:ext uri="{FF2B5EF4-FFF2-40B4-BE49-F238E27FC236}">
              <a16:creationId xmlns:a16="http://schemas.microsoft.com/office/drawing/2014/main" id="{2EBADDD7-0993-352C-58D3-4DC47F135021}"/>
            </a:ext>
          </a:extLst>
        </xdr:cNvPr>
        <xdr:cNvPicPr>
          <a:picLocks noChangeAspect="1"/>
        </xdr:cNvPicPr>
      </xdr:nvPicPr>
      <xdr:blipFill>
        <a:blip xmlns:r="http://schemas.openxmlformats.org/officeDocument/2006/relationships" r:embed="rId1"/>
        <a:stretch>
          <a:fillRect/>
        </a:stretch>
      </xdr:blipFill>
      <xdr:spPr>
        <a:xfrm>
          <a:off x="10530416" y="603250"/>
          <a:ext cx="5050348" cy="100584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6</xdr:col>
      <xdr:colOff>116417</xdr:colOff>
      <xdr:row>1</xdr:row>
      <xdr:rowOff>95252</xdr:rowOff>
    </xdr:from>
    <xdr:to>
      <xdr:col>12</xdr:col>
      <xdr:colOff>64470</xdr:colOff>
      <xdr:row>26</xdr:row>
      <xdr:rowOff>169334</xdr:rowOff>
    </xdr:to>
    <xdr:pic>
      <xdr:nvPicPr>
        <xdr:cNvPr id="2" name="図 1">
          <a:extLst>
            <a:ext uri="{FF2B5EF4-FFF2-40B4-BE49-F238E27FC236}">
              <a16:creationId xmlns:a16="http://schemas.microsoft.com/office/drawing/2014/main" id="{6559108B-89C7-C0C7-9B45-BDE8897F528D}"/>
            </a:ext>
          </a:extLst>
        </xdr:cNvPr>
        <xdr:cNvPicPr>
          <a:picLocks noChangeAspect="1"/>
        </xdr:cNvPicPr>
      </xdr:nvPicPr>
      <xdr:blipFill>
        <a:blip xmlns:r="http://schemas.openxmlformats.org/officeDocument/2006/relationships" r:embed="rId1"/>
        <a:stretch>
          <a:fillRect/>
        </a:stretch>
      </xdr:blipFill>
      <xdr:spPr>
        <a:xfrm>
          <a:off x="5799667" y="603252"/>
          <a:ext cx="5663053" cy="6487582"/>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F1FBF-EE84-C145-9FE8-88A540F12520}">
  <sheetPr codeName="Sheet2">
    <tabColor theme="8"/>
    <pageSetUpPr fitToPage="1"/>
  </sheetPr>
  <dimension ref="B1:P32"/>
  <sheetViews>
    <sheetView showGridLines="0" showRowColHeaders="0" zoomScale="110" zoomScaleNormal="110" workbookViewId="0">
      <selection activeCell="F13" sqref="F13"/>
    </sheetView>
  </sheetViews>
  <sheetFormatPr baseColWidth="10" defaultColWidth="10.7109375" defaultRowHeight="18"/>
  <cols>
    <col min="1" max="1" width="5.140625" style="151" customWidth="1"/>
    <col min="2" max="2" width="10.7109375" style="151" customWidth="1"/>
    <col min="3" max="3" width="24.42578125" style="151" customWidth="1"/>
    <col min="4" max="4" width="9.28515625" style="151" customWidth="1"/>
    <col min="5" max="5" width="7.7109375" style="151" bestFit="1" customWidth="1"/>
    <col min="6" max="6" width="20.28515625" style="151" customWidth="1"/>
    <col min="7" max="9" width="11.28515625" style="151" customWidth="1"/>
    <col min="10" max="10" width="18.42578125" style="151" customWidth="1"/>
    <col min="11" max="12" width="10.7109375" style="151"/>
    <col min="13" max="16" width="9.7109375" style="151" customWidth="1"/>
    <col min="17" max="17" width="5" style="151" customWidth="1"/>
    <col min="18" max="16384" width="10.7109375" style="151"/>
  </cols>
  <sheetData>
    <row r="1" spans="2:16" ht="20" customHeight="1"/>
    <row r="2" spans="2:16" ht="26" customHeight="1">
      <c r="B2" s="170" t="s">
        <v>485</v>
      </c>
    </row>
    <row r="3" spans="2:16" ht="17" customHeight="1"/>
    <row r="4" spans="2:16" ht="40" customHeight="1">
      <c r="B4" s="158" t="s">
        <v>735</v>
      </c>
      <c r="C4" s="431" t="s">
        <v>736</v>
      </c>
      <c r="D4" s="431"/>
      <c r="E4" s="431"/>
      <c r="F4" s="431" t="s">
        <v>734</v>
      </c>
      <c r="G4" s="431"/>
      <c r="H4" s="431"/>
      <c r="I4" s="431"/>
      <c r="J4" s="431"/>
      <c r="L4" s="344" t="s">
        <v>712</v>
      </c>
      <c r="M4" s="432" t="s">
        <v>713</v>
      </c>
      <c r="N4" s="433"/>
      <c r="O4" s="433"/>
      <c r="P4" s="434"/>
    </row>
    <row r="5" spans="2:16" ht="40" customHeight="1">
      <c r="B5" s="164" t="s">
        <v>486</v>
      </c>
      <c r="C5" s="167" t="s">
        <v>363</v>
      </c>
      <c r="D5" s="156" t="s">
        <v>492</v>
      </c>
      <c r="E5" s="156" t="s">
        <v>496</v>
      </c>
      <c r="F5" s="156" t="s">
        <v>493</v>
      </c>
      <c r="G5" s="156" t="s">
        <v>501</v>
      </c>
      <c r="H5" s="156" t="s">
        <v>502</v>
      </c>
      <c r="I5" s="156" t="s">
        <v>503</v>
      </c>
      <c r="J5" s="157" t="s">
        <v>490</v>
      </c>
      <c r="L5" s="345"/>
      <c r="M5" s="435" t="s">
        <v>715</v>
      </c>
      <c r="N5" s="436"/>
      <c r="O5" s="436"/>
      <c r="P5" s="436"/>
    </row>
    <row r="6" spans="2:16" ht="40" customHeight="1">
      <c r="B6" s="165"/>
      <c r="C6" s="167" t="s">
        <v>517</v>
      </c>
      <c r="D6" s="248" t="s">
        <v>159</v>
      </c>
      <c r="E6" s="156">
        <f>_xlfn.XLOOKUP(D6,標準係数B!C:C,標準係数B!B:B, "IDなし", 0, 1)</f>
        <v>1</v>
      </c>
      <c r="F6" s="156"/>
      <c r="G6" s="246" t="s">
        <v>495</v>
      </c>
      <c r="H6" s="246" t="s">
        <v>497</v>
      </c>
      <c r="I6" s="246" t="s">
        <v>498</v>
      </c>
      <c r="J6" s="159"/>
      <c r="L6" s="345"/>
      <c r="M6" s="437" t="s">
        <v>716</v>
      </c>
      <c r="N6" s="425"/>
      <c r="O6" s="425"/>
      <c r="P6" s="425"/>
    </row>
    <row r="7" spans="2:16" ht="40" customHeight="1">
      <c r="B7" s="165"/>
      <c r="C7" s="169" t="s">
        <v>518</v>
      </c>
      <c r="D7" s="249">
        <v>0.22</v>
      </c>
      <c r="E7" s="156"/>
      <c r="F7" s="156"/>
      <c r="G7" s="156" t="s">
        <v>499</v>
      </c>
      <c r="H7" s="156"/>
      <c r="I7" s="156"/>
      <c r="J7" s="159"/>
      <c r="L7" s="345"/>
      <c r="M7" s="435" t="s">
        <v>714</v>
      </c>
      <c r="N7" s="436"/>
      <c r="O7" s="436"/>
      <c r="P7" s="436"/>
    </row>
    <row r="8" spans="2:16" ht="40" customHeight="1">
      <c r="B8" s="166"/>
      <c r="C8" s="169"/>
      <c r="D8" s="247"/>
      <c r="E8" s="156"/>
      <c r="F8" s="156"/>
      <c r="G8" s="156"/>
      <c r="H8" s="156"/>
      <c r="I8" s="156"/>
      <c r="J8" s="159"/>
      <c r="L8" s="345"/>
      <c r="M8" s="437" t="s">
        <v>717</v>
      </c>
      <c r="N8" s="436"/>
      <c r="O8" s="436"/>
      <c r="P8" s="436"/>
    </row>
    <row r="9" spans="2:16" ht="40" customHeight="1">
      <c r="B9" s="152"/>
      <c r="C9" s="152"/>
      <c r="D9" s="152"/>
      <c r="E9" s="152"/>
      <c r="F9" s="152"/>
      <c r="G9" s="152"/>
      <c r="H9" s="152"/>
      <c r="I9" s="152"/>
      <c r="J9" s="153"/>
      <c r="L9" s="345"/>
      <c r="M9" s="438" t="s">
        <v>718</v>
      </c>
      <c r="N9" s="439"/>
      <c r="O9" s="439"/>
      <c r="P9" s="439"/>
    </row>
    <row r="10" spans="2:16" ht="40" customHeight="1">
      <c r="B10" s="164" t="s">
        <v>487</v>
      </c>
      <c r="C10" s="167" t="s">
        <v>363</v>
      </c>
      <c r="D10" s="156" t="s">
        <v>492</v>
      </c>
      <c r="E10" s="156" t="s">
        <v>496</v>
      </c>
      <c r="F10" s="156" t="s">
        <v>493</v>
      </c>
      <c r="G10" s="156" t="s">
        <v>501</v>
      </c>
      <c r="H10" s="156" t="s">
        <v>502</v>
      </c>
      <c r="I10" s="156" t="s">
        <v>503</v>
      </c>
      <c r="J10" s="157" t="s">
        <v>490</v>
      </c>
      <c r="L10" s="345"/>
      <c r="M10" s="440" t="s">
        <v>719</v>
      </c>
      <c r="N10" s="441"/>
      <c r="O10" s="441"/>
      <c r="P10" s="441"/>
    </row>
    <row r="11" spans="2:16" ht="40" customHeight="1">
      <c r="B11" s="165"/>
      <c r="C11" s="167" t="s">
        <v>519</v>
      </c>
      <c r="D11" s="160">
        <f>SUM(D12:D13)</f>
        <v>487</v>
      </c>
      <c r="E11" s="158"/>
      <c r="F11" s="161"/>
      <c r="G11" s="246" t="s">
        <v>525</v>
      </c>
      <c r="H11" s="246" t="s">
        <v>500</v>
      </c>
      <c r="I11" s="156"/>
      <c r="J11" s="390"/>
      <c r="L11" s="345"/>
      <c r="M11" s="435" t="s">
        <v>720</v>
      </c>
      <c r="N11" s="436"/>
      <c r="O11" s="436"/>
      <c r="P11" s="436"/>
    </row>
    <row r="12" spans="2:16" ht="40" customHeight="1">
      <c r="B12" s="165"/>
      <c r="C12" s="168" t="s">
        <v>520</v>
      </c>
      <c r="D12" s="250">
        <v>0</v>
      </c>
      <c r="E12" s="158"/>
      <c r="F12" s="156"/>
      <c r="G12" s="156"/>
      <c r="H12" s="156"/>
      <c r="I12" s="156"/>
      <c r="J12" s="391" t="str">
        <f>IF(D12=償却資産!D82,"","導管の内訳が一致しません。償却資産を確認してください。")</f>
        <v/>
      </c>
      <c r="L12" s="345"/>
      <c r="M12" s="435" t="s">
        <v>629</v>
      </c>
      <c r="N12" s="436"/>
      <c r="O12" s="436"/>
      <c r="P12" s="436"/>
    </row>
    <row r="13" spans="2:16" ht="40" customHeight="1">
      <c r="B13" s="165"/>
      <c r="C13" s="168" t="s">
        <v>521</v>
      </c>
      <c r="D13" s="250">
        <v>487</v>
      </c>
      <c r="E13" s="158"/>
      <c r="F13" s="156"/>
      <c r="G13" s="156"/>
      <c r="H13" s="156"/>
      <c r="I13" s="156"/>
      <c r="J13" s="390" t="str">
        <f>IF(D13=償却資産!D83,"","導管の内訳が一致しません。償却資産を確認してください。")</f>
        <v/>
      </c>
      <c r="L13" s="345"/>
      <c r="M13" s="435" t="s">
        <v>721</v>
      </c>
      <c r="N13" s="436"/>
      <c r="O13" s="436"/>
      <c r="P13" s="436"/>
    </row>
    <row r="14" spans="2:16" ht="40" customHeight="1">
      <c r="B14" s="165"/>
      <c r="C14" s="167" t="s">
        <v>636</v>
      </c>
      <c r="D14" s="248">
        <v>106.05</v>
      </c>
      <c r="E14" s="156"/>
      <c r="F14" s="156"/>
      <c r="G14" s="246" t="s">
        <v>475</v>
      </c>
      <c r="H14" s="156"/>
      <c r="I14" s="156"/>
      <c r="J14" s="390"/>
      <c r="L14" s="345"/>
      <c r="M14" s="435" t="s">
        <v>722</v>
      </c>
      <c r="N14" s="436"/>
      <c r="O14" s="436"/>
      <c r="P14" s="436"/>
    </row>
    <row r="15" spans="2:16" ht="40" customHeight="1">
      <c r="B15" s="165"/>
      <c r="C15" s="167" t="s">
        <v>522</v>
      </c>
      <c r="D15" s="343" t="s">
        <v>639</v>
      </c>
      <c r="E15" s="156">
        <f>IF(D15="有",1,0)</f>
        <v>1</v>
      </c>
      <c r="F15" s="156"/>
      <c r="G15" s="246" t="s">
        <v>488</v>
      </c>
      <c r="H15" s="156"/>
      <c r="I15" s="156"/>
      <c r="J15" s="390"/>
      <c r="L15" s="345"/>
      <c r="M15" s="435" t="s">
        <v>723</v>
      </c>
      <c r="N15" s="436"/>
      <c r="O15" s="436"/>
      <c r="P15" s="436"/>
    </row>
    <row r="16" spans="2:16" ht="40" customHeight="1">
      <c r="B16" s="165"/>
      <c r="C16" s="158"/>
      <c r="D16" s="158"/>
      <c r="E16" s="158"/>
      <c r="F16" s="158"/>
      <c r="G16" s="158"/>
      <c r="H16" s="158"/>
      <c r="I16" s="158"/>
      <c r="J16" s="158"/>
      <c r="L16" s="345"/>
      <c r="M16" s="442"/>
      <c r="N16" s="443"/>
      <c r="O16" s="443"/>
      <c r="P16" s="443"/>
    </row>
    <row r="17" spans="2:16" ht="40" customHeight="1">
      <c r="B17" s="166"/>
      <c r="C17" s="167"/>
      <c r="D17" s="156"/>
      <c r="E17" s="156"/>
      <c r="F17" s="156"/>
      <c r="G17" s="156"/>
      <c r="H17" s="156"/>
      <c r="I17" s="156"/>
      <c r="J17" s="390"/>
      <c r="L17" s="346"/>
      <c r="M17" s="357"/>
      <c r="N17" s="357"/>
      <c r="O17" s="357"/>
      <c r="P17" s="347"/>
    </row>
    <row r="18" spans="2:16" ht="40" customHeight="1">
      <c r="B18" s="152"/>
      <c r="C18" s="152"/>
      <c r="D18" s="152"/>
      <c r="E18" s="152"/>
      <c r="F18" s="152"/>
      <c r="G18" s="152"/>
      <c r="H18" s="152"/>
      <c r="I18" s="152"/>
      <c r="J18" s="153"/>
    </row>
    <row r="19" spans="2:16" ht="40" customHeight="1">
      <c r="B19" s="164" t="s">
        <v>504</v>
      </c>
      <c r="C19" s="394" t="s">
        <v>508</v>
      </c>
      <c r="D19" s="251" t="b">
        <v>0</v>
      </c>
      <c r="E19" s="430" t="s">
        <v>751</v>
      </c>
      <c r="F19" s="430"/>
      <c r="G19" s="430"/>
      <c r="H19" s="430"/>
      <c r="I19" s="430"/>
      <c r="J19" s="430"/>
      <c r="L19" s="251" t="b">
        <v>0</v>
      </c>
      <c r="M19" s="425" t="s">
        <v>648</v>
      </c>
      <c r="N19" s="425"/>
      <c r="O19" s="425"/>
      <c r="P19" s="425"/>
    </row>
    <row r="20" spans="2:16" ht="40" customHeight="1">
      <c r="B20" s="165"/>
      <c r="C20" s="163" t="s">
        <v>509</v>
      </c>
      <c r="D20" s="251" t="b">
        <v>0</v>
      </c>
      <c r="E20" s="426" t="s">
        <v>513</v>
      </c>
      <c r="F20" s="426"/>
      <c r="G20" s="426"/>
      <c r="H20" s="426"/>
      <c r="I20" s="426"/>
      <c r="J20" s="426"/>
      <c r="L20" s="251" t="b">
        <v>0</v>
      </c>
      <c r="M20" s="425" t="s">
        <v>649</v>
      </c>
      <c r="N20" s="425"/>
      <c r="O20" s="425"/>
      <c r="P20" s="425"/>
    </row>
    <row r="21" spans="2:16" ht="40" customHeight="1">
      <c r="B21" s="165"/>
      <c r="C21" s="163" t="s">
        <v>510</v>
      </c>
      <c r="D21" s="251" t="b">
        <v>0</v>
      </c>
      <c r="E21" s="426" t="s">
        <v>514</v>
      </c>
      <c r="F21" s="426"/>
      <c r="G21" s="426"/>
      <c r="H21" s="426"/>
      <c r="I21" s="426"/>
      <c r="J21" s="426"/>
      <c r="L21" s="251" t="b">
        <v>0</v>
      </c>
      <c r="M21" s="425" t="s">
        <v>650</v>
      </c>
      <c r="N21" s="425"/>
      <c r="O21" s="425"/>
      <c r="P21" s="425"/>
    </row>
    <row r="22" spans="2:16" ht="40" customHeight="1">
      <c r="B22" s="165"/>
      <c r="C22" s="163" t="s">
        <v>511</v>
      </c>
      <c r="D22" s="251" t="b">
        <v>0</v>
      </c>
      <c r="E22" s="426" t="s">
        <v>515</v>
      </c>
      <c r="F22" s="426"/>
      <c r="G22" s="426"/>
      <c r="H22" s="426"/>
      <c r="I22" s="426"/>
      <c r="J22" s="426"/>
      <c r="L22" s="251" t="b">
        <v>0</v>
      </c>
      <c r="M22" s="425" t="s">
        <v>651</v>
      </c>
      <c r="N22" s="425"/>
      <c r="O22" s="425"/>
      <c r="P22" s="425"/>
    </row>
    <row r="23" spans="2:16" ht="40" customHeight="1">
      <c r="B23" s="165"/>
      <c r="C23" s="163" t="s">
        <v>512</v>
      </c>
      <c r="D23" s="251" t="b">
        <v>0</v>
      </c>
      <c r="E23" s="426" t="s">
        <v>516</v>
      </c>
      <c r="F23" s="426"/>
      <c r="G23" s="426"/>
      <c r="H23" s="426"/>
      <c r="I23" s="426"/>
      <c r="J23" s="426"/>
      <c r="K23" s="237"/>
      <c r="L23" s="251" t="b">
        <v>0</v>
      </c>
      <c r="M23" s="425" t="s">
        <v>652</v>
      </c>
      <c r="N23" s="425"/>
      <c r="O23" s="425"/>
      <c r="P23" s="425"/>
    </row>
    <row r="24" spans="2:16" ht="40" customHeight="1">
      <c r="B24" s="165"/>
      <c r="C24" s="414" t="s">
        <v>523</v>
      </c>
      <c r="D24" s="252" t="b">
        <v>0</v>
      </c>
      <c r="E24" s="426"/>
      <c r="F24" s="426"/>
      <c r="G24" s="426"/>
      <c r="H24" s="426"/>
      <c r="I24" s="426"/>
      <c r="J24" s="426"/>
      <c r="L24" s="252" t="b">
        <v>0</v>
      </c>
      <c r="M24" s="425" t="s">
        <v>653</v>
      </c>
      <c r="N24" s="425"/>
      <c r="O24" s="425"/>
      <c r="P24" s="425"/>
    </row>
    <row r="25" spans="2:16" ht="40" customHeight="1">
      <c r="B25" s="165"/>
      <c r="C25" s="414" t="s">
        <v>524</v>
      </c>
      <c r="D25" s="252" t="b">
        <v>0</v>
      </c>
      <c r="E25" s="427"/>
      <c r="F25" s="428"/>
      <c r="G25" s="428"/>
      <c r="H25" s="428"/>
      <c r="I25" s="428"/>
      <c r="J25" s="429"/>
      <c r="L25" s="252" t="b">
        <v>0</v>
      </c>
      <c r="M25" s="425" t="s">
        <v>654</v>
      </c>
      <c r="N25" s="425"/>
      <c r="O25" s="425"/>
      <c r="P25" s="425"/>
    </row>
    <row r="26" spans="2:16" ht="40" customHeight="1">
      <c r="B26" s="165"/>
      <c r="C26" s="167"/>
      <c r="D26" s="252" t="b">
        <v>0</v>
      </c>
      <c r="E26" s="426"/>
      <c r="F26" s="426"/>
      <c r="G26" s="426"/>
      <c r="H26" s="426"/>
      <c r="I26" s="426"/>
      <c r="J26" s="426"/>
      <c r="L26" s="252" t="b">
        <v>0</v>
      </c>
      <c r="M26" s="425" t="s">
        <v>655</v>
      </c>
      <c r="N26" s="425"/>
      <c r="O26" s="425"/>
      <c r="P26" s="425"/>
    </row>
    <row r="27" spans="2:16" ht="36" customHeight="1">
      <c r="B27" s="166"/>
      <c r="C27" s="167"/>
      <c r="D27" s="252" t="b">
        <v>0</v>
      </c>
      <c r="E27" s="426"/>
      <c r="F27" s="426"/>
      <c r="G27" s="426"/>
      <c r="H27" s="426"/>
      <c r="I27" s="426"/>
      <c r="J27" s="426"/>
      <c r="L27" s="252" t="b">
        <v>0</v>
      </c>
      <c r="M27" s="425" t="s">
        <v>733</v>
      </c>
      <c r="N27" s="425"/>
      <c r="O27" s="425"/>
      <c r="P27" s="425"/>
    </row>
    <row r="28" spans="2:16" ht="36" customHeight="1">
      <c r="B28" s="152"/>
      <c r="C28" s="152"/>
      <c r="D28" s="152"/>
      <c r="E28" s="152"/>
      <c r="F28" s="152"/>
      <c r="G28" s="152"/>
      <c r="H28" s="152"/>
      <c r="I28" s="152"/>
    </row>
    <row r="29" spans="2:16" ht="36" customHeight="1">
      <c r="B29" s="152"/>
      <c r="C29" s="152"/>
      <c r="D29" s="152"/>
      <c r="E29" s="152"/>
      <c r="F29" s="152"/>
      <c r="G29" s="152"/>
      <c r="H29" s="152"/>
      <c r="I29" s="152"/>
    </row>
    <row r="30" spans="2:16" ht="36" customHeight="1">
      <c r="B30" s="152"/>
      <c r="C30" s="152"/>
      <c r="D30" s="152"/>
      <c r="E30" s="152"/>
      <c r="F30" s="152"/>
      <c r="G30" s="152"/>
      <c r="H30" s="152"/>
      <c r="I30" s="152"/>
    </row>
    <row r="31" spans="2:16" ht="36" customHeight="1">
      <c r="B31" s="152"/>
      <c r="C31" s="152"/>
      <c r="D31" s="152"/>
      <c r="E31" s="152"/>
      <c r="F31" s="152"/>
      <c r="G31" s="152"/>
      <c r="H31" s="152"/>
      <c r="I31" s="152"/>
    </row>
    <row r="32" spans="2:16" ht="36" customHeight="1"/>
  </sheetData>
  <mergeCells count="33">
    <mergeCell ref="C4:E4"/>
    <mergeCell ref="F4:J4"/>
    <mergeCell ref="E27:J27"/>
    <mergeCell ref="M4:P4"/>
    <mergeCell ref="M5:P5"/>
    <mergeCell ref="M6:P6"/>
    <mergeCell ref="M7:P7"/>
    <mergeCell ref="M8:P8"/>
    <mergeCell ref="M9:P9"/>
    <mergeCell ref="M10:P10"/>
    <mergeCell ref="M11:P11"/>
    <mergeCell ref="M12:P12"/>
    <mergeCell ref="M13:P13"/>
    <mergeCell ref="M14:P14"/>
    <mergeCell ref="M15:P15"/>
    <mergeCell ref="M16:P16"/>
    <mergeCell ref="E19:J19"/>
    <mergeCell ref="E20:J20"/>
    <mergeCell ref="M19:P19"/>
    <mergeCell ref="M20:P20"/>
    <mergeCell ref="E21:J21"/>
    <mergeCell ref="M21:P21"/>
    <mergeCell ref="M26:P26"/>
    <mergeCell ref="M27:P27"/>
    <mergeCell ref="E26:J26"/>
    <mergeCell ref="E25:J25"/>
    <mergeCell ref="E22:J22"/>
    <mergeCell ref="E23:J23"/>
    <mergeCell ref="M24:P24"/>
    <mergeCell ref="M25:P25"/>
    <mergeCell ref="E24:J24"/>
    <mergeCell ref="M22:P22"/>
    <mergeCell ref="M23:P23"/>
  </mergeCells>
  <phoneticPr fontId="2"/>
  <dataValidations count="4">
    <dataValidation type="whole" allowBlank="1" showInputMessage="1" showErrorMessage="1" errorTitle="無効な値" error="無効な値です" sqref="D12:D13" xr:uid="{FB173489-7272-0A48-A178-FF6EAD62D1B8}">
      <formula1>0</formula1>
      <formula2>99999</formula2>
    </dataValidation>
    <dataValidation type="decimal" allowBlank="1" showInputMessage="1" showErrorMessage="1" errorTitle="無効な値" error="無効な値です" sqref="D7" xr:uid="{583A8467-ABAF-C940-A37F-778F59059504}">
      <formula1>0.1</formula1>
      <formula2>0.3</formula2>
    </dataValidation>
    <dataValidation type="decimal" allowBlank="1" showInputMessage="1" showErrorMessage="1" errorTitle="無効な値" error="無効な値です" sqref="D14" xr:uid="{6A1D3FAA-77A9-EE45-93E4-9ADB79339A42}">
      <formula1>20</formula1>
      <formula2>200</formula2>
    </dataValidation>
    <dataValidation type="list" allowBlank="1" showInputMessage="1" showErrorMessage="1" sqref="D17:D18 D15" xr:uid="{A9E75D31-7BBC-9448-BA9F-CD7DEFED3A76}">
      <formula1>"有,無"</formula1>
    </dataValidation>
  </dataValidations>
  <hyperlinks>
    <hyperlink ref="C20" location="土地!C5" display="2.土地" xr:uid="{74FE1E9C-3C36-C34F-B53B-F81A7CC002EA}"/>
    <hyperlink ref="C21" location="償却資産!C6" display="3.償却資産" xr:uid="{C334E54D-565F-AE47-B3B0-ACAAC92048B2}"/>
    <hyperlink ref="C22" location="車両!C4" display="4.車両" xr:uid="{F83252F1-B8F5-A848-8482-B00D4B02710F}"/>
    <hyperlink ref="C23" location="道路占用料!D5" display="5.道路占用料" xr:uid="{C6C1A1B9-51E2-8B45-BA9E-FFA9CF840394}"/>
    <hyperlink ref="C19" location="販売量!A1" display="1.販売量" xr:uid="{CA96D30F-5DF4-8146-946B-D2A549EAD04A}"/>
    <hyperlink ref="M19:P19" location="販売量!C4" display="販売量設定は正しいか？" xr:uid="{A3F76EFD-019F-4147-8982-D9779827856C}"/>
    <hyperlink ref="M20:P20" location="販売量!Q11" display="販売量情報入力シートの需要家数は許可地点数と一致しているか？" xr:uid="{C6DDA382-303D-4F4B-B83A-3102579BA03C}"/>
    <hyperlink ref="M21:P21" location="土地!D5" display="土地情報は正しく入力されているか？" xr:uid="{5F0AA610-4BAE-604F-9FD3-6C87DEAAED9F}"/>
    <hyperlink ref="M22:P22" location="償却資産!D83" display="償却資産と許可地点数は一致しているか？" xr:uid="{1338B600-7283-9B4A-8F22-8A7AF1C91D2E}"/>
    <hyperlink ref="M23:P23" location="車両!C4" display="車両が自社所有の場合、取得時期は正しいか？" xr:uid="{9C585135-EF97-BC41-8AE2-5A0F8253E2B5}"/>
    <hyperlink ref="M24:P24" location="道路占用料!D5" display="道路占用料の区分は正しいか？" xr:uid="{5463A3F4-7A36-C44D-B16E-88EF86C8875A}"/>
    <hyperlink ref="M25:P25" location="レートメイク!C11" display="レートメイクの需要構成率は正しいか？" xr:uid="{2FD2B48A-5811-5D40-8DAF-910551B3D440}"/>
    <hyperlink ref="M26:P26" location="レートメイク!E30" display="レートメイクの収入ー総原価は0〜-1,000の範囲に収まっているか？" xr:uid="{06865DE1-E15E-6542-8255-F731BAAFD0D8}"/>
    <hyperlink ref="G6" location="'1_a'!B7" display="月平均販売量" xr:uid="{5CA2BC76-455A-2340-84CA-16E45D4DE986}"/>
    <hyperlink ref="H6" location="'1_b'!B17" display="平均労務費" xr:uid="{47CB9917-9999-1F4D-AD8E-C2036F77FCF9}"/>
    <hyperlink ref="I6" location="'1_b'!D7" display="産気率" xr:uid="{A47F6FBA-F9C0-514B-AC5A-096BAC4404D7}"/>
    <hyperlink ref="G11" location="車両!C7" display="車両の標準係数の抽出" xr:uid="{8645BEB8-6BCC-3F4C-8867-51DD3AEAFE6B}"/>
    <hyperlink ref="H11" location="道路占用料!E6" display="道路占用料の算出" xr:uid="{D5B91EF0-7BB0-734F-965B-280E70AA0169}"/>
    <hyperlink ref="G14" location="'1_b'!B10" display="原料費" xr:uid="{A9A2C112-688B-4049-A0F3-E99C8586F2FE}"/>
    <hyperlink ref="G15" location="'1_b'!F37" display="軽減係数の抽出" xr:uid="{E06A80DE-149A-224F-AEAF-3F44D8E49ED3}"/>
    <hyperlink ref="M4:P4" location="'1_a'!A1" display="'1_a'!A1" xr:uid="{4EFDF7BB-01FB-C34B-88D1-68E6A57FAC07}"/>
    <hyperlink ref="M5:P5" location="'1_b'!A1" display="様式第１第3表　営業項目別算定明細表" xr:uid="{37103C44-A12E-3641-A66B-E4035E2D8C0A}"/>
    <hyperlink ref="M6:P6" location="'1_c'!A1" display="様式第１第4表　営業費以外の項目別算定明細表" xr:uid="{A59FAC20-19A1-7B48-893A-F2C1B82C1A8D}"/>
    <hyperlink ref="M7:P7" location="'2_a'!A1" display="様式第2 第1表　総括原価整理表" xr:uid="{DAD14F20-D7CA-9544-A65E-F1F69E438FB7}"/>
    <hyperlink ref="M8:P8" location="'2_b'!A1" display="'2_b'!A1" xr:uid="{C65172B5-C7AE-C449-9E1E-4DAA18BC7DB2}"/>
    <hyperlink ref="M9:P9" location="'2_c'!A1" display="様式第2 第4表　供給約款料金原価と料金収入の比較表" xr:uid="{EA1EF804-CC4C-0540-95A6-3C80145B9919}"/>
    <hyperlink ref="M10:P10" location="'別表4,5'!A1" display="'別表4,5'!A1" xr:uid="{3025FA55-87FC-0944-9E35-4D5CC131DF4C}"/>
    <hyperlink ref="M11:P11" location="変更内容!A1" display="変更内容" xr:uid="{20933D91-90BD-8248-8FFC-A1064DE32AA2}"/>
    <hyperlink ref="M12:P12" location="レートメイク!A1" display="レートメイク" xr:uid="{FB878F60-0E89-0F4B-BA9C-A2FB3D715D46}"/>
    <hyperlink ref="M13:P13" location="標準係数A!A1" display="標準係数A　標準投資額" xr:uid="{D563F3F4-480C-4549-AAC6-874954F55235}"/>
    <hyperlink ref="M14:P14" location="標準係数B!A1" display="標準係数B その他" xr:uid="{D28D7DAB-9975-F44D-87D5-6D2E75668F38}"/>
    <hyperlink ref="M15:P15" location="需要構成率!A1" display="（参考）需要構成率" xr:uid="{8F5BDD39-AE2B-2C4C-AF8D-0C049B20E75E}"/>
    <hyperlink ref="J12" location="償却資産!E4" display="償却資産!E4" xr:uid="{55E95C74-84A8-AA43-B812-175478FE0B31}"/>
    <hyperlink ref="M27:P27" location="レートメイク!L20" display="原稿料金の入力はできているか？" xr:uid="{99ED957F-B3EE-4546-9BAC-02C988010831}"/>
    <hyperlink ref="C24" location="ナビ!L19" display="6.エラーチェック" xr:uid="{431690D9-935C-7746-BC8A-608BF56FF425}"/>
    <hyperlink ref="C25" location="レートメイク!A1" display="7.レートメイキング" xr:uid="{43667ED6-1321-BD4B-BA93-776DC369BB8E}"/>
  </hyperlinks>
  <pageMargins left="0.70866141732283472" right="0.70866141732283472" top="0.74803149606299213" bottom="0.74803149606299213" header="0.31496062992125984" footer="0.31496062992125984"/>
  <pageSetup paperSize="9" scale="47" orientation="landscape" horizontalDpi="0" verticalDpi="0"/>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3C355CA4-2228-9646-8A03-1716ACAF8980}">
          <x14:formula1>
            <xm:f>標準係数B!$C$4:$C$50</xm:f>
          </x14:formula1>
          <xm:sqref>D6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C9B1C-0FC3-664C-B148-AE78321BDEDD}">
  <sheetPr codeName="Sheet3">
    <tabColor theme="4" tint="0.79998168889431442"/>
    <pageSetUpPr fitToPage="1"/>
  </sheetPr>
  <dimension ref="B1:V38"/>
  <sheetViews>
    <sheetView showGridLines="0" showRowColHeaders="0" zoomScaleNormal="100" workbookViewId="0">
      <selection activeCell="K7" sqref="K7"/>
      <extLst>
        <ext xmlns:xlsdti="http://schemas.microsoft.com/office/spreadsheetml/2023/showDataTypeIcons" uri="{77bfe23e-c014-4d31-8a63-9c772dbf06b6}">
          <xlsdti:showDataTypeIcons visible="0"/>
        </ext>
      </extLst>
    </sheetView>
  </sheetViews>
  <sheetFormatPr baseColWidth="10" defaultColWidth="11.140625" defaultRowHeight="18"/>
  <cols>
    <col min="1" max="1" width="5" customWidth="1"/>
    <col min="2" max="3" width="4.85546875" style="60" customWidth="1"/>
    <col min="4" max="4" width="5.28515625" style="60" customWidth="1"/>
    <col min="5" max="5" width="11.28515625" style="60" customWidth="1"/>
    <col min="6" max="9" width="16" style="60" customWidth="1"/>
    <col min="10" max="10" width="5" customWidth="1"/>
    <col min="11" max="11" width="16.7109375" style="97" customWidth="1"/>
    <col min="12" max="14" width="11.85546875" style="97" customWidth="1"/>
    <col min="15" max="22" width="10.7109375" style="97"/>
  </cols>
  <sheetData>
    <row r="1" spans="2:22" ht="25" customHeight="1"/>
    <row r="2" spans="2:22" ht="27" customHeight="1">
      <c r="B2" s="60" t="s">
        <v>112</v>
      </c>
      <c r="I2" s="398" t="str">
        <f>ナビ!C4</f>
        <v>　</v>
      </c>
    </row>
    <row r="3" spans="2:22" ht="27" customHeight="1">
      <c r="B3" s="60" t="s">
        <v>63</v>
      </c>
    </row>
    <row r="4" spans="2:22" ht="27" customHeight="1">
      <c r="B4" s="452" t="s">
        <v>113</v>
      </c>
      <c r="C4" s="453"/>
      <c r="D4" s="453"/>
      <c r="E4" s="453"/>
      <c r="F4" s="453"/>
      <c r="G4" s="453"/>
      <c r="H4" s="453"/>
      <c r="I4" s="453"/>
    </row>
    <row r="5" spans="2:22" ht="27" customHeight="1" thickBot="1">
      <c r="B5" s="61"/>
      <c r="C5" s="3"/>
      <c r="D5" s="3"/>
      <c r="E5" s="3"/>
      <c r="F5" s="3"/>
      <c r="G5" s="3"/>
      <c r="H5" s="3"/>
      <c r="I5" s="3"/>
      <c r="S5"/>
      <c r="T5"/>
      <c r="U5"/>
      <c r="V5"/>
    </row>
    <row r="6" spans="2:22" ht="27" customHeight="1">
      <c r="B6" s="454" t="s">
        <v>114</v>
      </c>
      <c r="C6" s="455"/>
      <c r="D6" s="455"/>
      <c r="E6" s="455"/>
      <c r="F6" s="455"/>
      <c r="G6" s="455"/>
      <c r="H6" s="455"/>
      <c r="I6" s="456"/>
      <c r="S6"/>
      <c r="T6"/>
      <c r="U6"/>
      <c r="V6"/>
    </row>
    <row r="7" spans="2:22" ht="27" customHeight="1" thickBot="1">
      <c r="B7" s="457">
        <f>IF(AND(KYN=1,HKS=1),VLOOKUP(ナビ!$E$6,標準係数B!$B$4:$G$50,3,FALSE),販売量!$P$11)</f>
        <v>8.8330000000000002</v>
      </c>
      <c r="C7" s="458"/>
      <c r="D7" s="458"/>
      <c r="E7" s="62" t="s">
        <v>115</v>
      </c>
      <c r="F7" s="459">
        <f>ナビ!$D$11</f>
        <v>487</v>
      </c>
      <c r="G7" s="460"/>
      <c r="H7" s="238">
        <f>IF(AND(KYN=1,HKS=1),B7*F7*12,販売量!$O$11)</f>
        <v>51621.886618181823</v>
      </c>
      <c r="I7" s="63" t="s">
        <v>71</v>
      </c>
      <c r="K7" s="162" t="s">
        <v>527</v>
      </c>
      <c r="S7"/>
      <c r="T7"/>
      <c r="U7"/>
      <c r="V7"/>
    </row>
    <row r="8" spans="2:22" ht="27" customHeight="1">
      <c r="B8" s="64"/>
      <c r="C8" s="64"/>
      <c r="D8" s="64"/>
      <c r="E8" s="64"/>
      <c r="F8" s="64"/>
      <c r="G8" s="64"/>
      <c r="H8" s="64"/>
      <c r="I8" s="64"/>
    </row>
    <row r="9" spans="2:22" ht="27" customHeight="1">
      <c r="B9" s="64" t="s">
        <v>83</v>
      </c>
      <c r="C9" s="64"/>
      <c r="D9" s="64"/>
      <c r="E9" s="64"/>
      <c r="F9" s="64"/>
      <c r="G9" s="64"/>
      <c r="H9" s="64"/>
      <c r="I9" s="64"/>
    </row>
    <row r="10" spans="2:22" ht="27" customHeight="1">
      <c r="B10" s="452" t="s">
        <v>116</v>
      </c>
      <c r="C10" s="453"/>
      <c r="D10" s="453"/>
      <c r="E10" s="453"/>
      <c r="F10" s="453"/>
      <c r="G10" s="453"/>
      <c r="H10" s="453"/>
      <c r="I10" s="453"/>
      <c r="M10" s="199"/>
    </row>
    <row r="11" spans="2:22" ht="27" customHeight="1" thickBot="1">
      <c r="B11" s="64"/>
      <c r="C11" s="64"/>
      <c r="D11" s="64"/>
      <c r="E11" s="64"/>
      <c r="F11" s="64"/>
      <c r="G11" s="64"/>
      <c r="H11" s="64"/>
      <c r="I11" s="64"/>
    </row>
    <row r="12" spans="2:22" ht="27" customHeight="1">
      <c r="B12" s="65"/>
      <c r="C12" s="66"/>
      <c r="D12" s="67"/>
      <c r="E12" s="68" t="s">
        <v>117</v>
      </c>
      <c r="F12" s="444" t="s">
        <v>118</v>
      </c>
      <c r="G12" s="444" t="s">
        <v>119</v>
      </c>
      <c r="H12" s="444" t="s">
        <v>75</v>
      </c>
      <c r="I12" s="446" t="s">
        <v>120</v>
      </c>
      <c r="K12" s="162" t="s">
        <v>526</v>
      </c>
    </row>
    <row r="13" spans="2:22" ht="27" customHeight="1">
      <c r="B13" s="448" t="s">
        <v>121</v>
      </c>
      <c r="C13" s="450" t="s">
        <v>122</v>
      </c>
      <c r="D13" s="451"/>
      <c r="E13" s="69"/>
      <c r="F13" s="445"/>
      <c r="G13" s="445"/>
      <c r="H13" s="445"/>
      <c r="I13" s="447"/>
    </row>
    <row r="14" spans="2:22" ht="27" customHeight="1">
      <c r="B14" s="449"/>
      <c r="C14" s="70" t="s">
        <v>123</v>
      </c>
      <c r="D14" s="70"/>
      <c r="E14" s="71"/>
      <c r="F14" s="119">
        <f>IF(COUNT(土地!$D$5:$D$14) = 1,土地!$D$5, "複数土地")</f>
        <v>32153</v>
      </c>
      <c r="G14" s="72"/>
      <c r="H14" s="73"/>
      <c r="I14" s="74"/>
    </row>
    <row r="15" spans="2:22" ht="27" customHeight="1">
      <c r="B15" s="75"/>
      <c r="C15" s="461" t="s">
        <v>124</v>
      </c>
      <c r="D15" s="462"/>
      <c r="E15" s="76" t="s">
        <v>125</v>
      </c>
      <c r="F15" s="77">
        <f>土地!E15</f>
        <v>649.1</v>
      </c>
      <c r="G15" s="77"/>
      <c r="H15" s="77">
        <f>IF(F15="","",F15+G15)</f>
        <v>649.1</v>
      </c>
      <c r="I15" s="74"/>
    </row>
    <row r="16" spans="2:22" ht="27" customHeight="1">
      <c r="B16" s="78"/>
      <c r="C16" s="461" t="s">
        <v>126</v>
      </c>
      <c r="D16" s="462"/>
      <c r="E16" s="76" t="s">
        <v>127</v>
      </c>
      <c r="F16" s="79">
        <f>土地!F15</f>
        <v>15300000</v>
      </c>
      <c r="G16" s="79"/>
      <c r="H16" s="79">
        <f>IF(F16="","",F16+G16)</f>
        <v>15300000</v>
      </c>
      <c r="I16" s="74"/>
    </row>
    <row r="17" spans="2:11" ht="27" customHeight="1">
      <c r="B17" s="448" t="s">
        <v>128</v>
      </c>
      <c r="C17" s="463" t="s">
        <v>129</v>
      </c>
      <c r="D17" s="464"/>
      <c r="E17" s="465"/>
      <c r="F17" s="80">
        <f>IF(F15="","",IF(F15&gt;0,ROUND(F16/F15,0),0))</f>
        <v>23571</v>
      </c>
      <c r="G17" s="80" t="str">
        <f>IF(G15="","",IF(G15&gt;0,ROUND(G16/G15,0),0))</f>
        <v/>
      </c>
      <c r="H17" s="80">
        <f>IF(H15="","",ROUND(H16/H15,0))</f>
        <v>23571</v>
      </c>
      <c r="I17" s="74"/>
    </row>
    <row r="18" spans="2:11" ht="27" customHeight="1">
      <c r="B18" s="449"/>
      <c r="C18" s="461" t="s">
        <v>130</v>
      </c>
      <c r="D18" s="462"/>
      <c r="E18" s="76" t="s">
        <v>131</v>
      </c>
      <c r="F18" s="118">
        <f>IF(COUNT(土地!$M$5:M14) = 1,土地!$M$5, "複数土地")</f>
        <v>295</v>
      </c>
      <c r="G18" s="81"/>
      <c r="H18" s="73"/>
      <c r="I18" s="74"/>
    </row>
    <row r="19" spans="2:11" ht="27" customHeight="1" thickBot="1">
      <c r="B19" s="82"/>
      <c r="C19" s="476" t="s">
        <v>132</v>
      </c>
      <c r="D19" s="477"/>
      <c r="E19" s="83" t="s">
        <v>133</v>
      </c>
      <c r="F19" s="84">
        <f>土地!N15</f>
        <v>6953445</v>
      </c>
      <c r="G19" s="84" t="str">
        <f>IF(G15&gt;0,IF(G15=G18,G16,ROUND(G17*G18,0)),"")</f>
        <v/>
      </c>
      <c r="H19" s="84">
        <f>土地!N15</f>
        <v>6953445</v>
      </c>
      <c r="I19" s="85"/>
    </row>
    <row r="20" spans="2:11" ht="27" customHeight="1" thickBot="1">
      <c r="B20" s="64"/>
      <c r="C20" s="64"/>
      <c r="D20" s="64"/>
      <c r="E20" s="64"/>
      <c r="F20" s="86"/>
      <c r="G20" s="86"/>
      <c r="H20" s="86"/>
      <c r="I20" s="86"/>
    </row>
    <row r="21" spans="2:11" ht="27" customHeight="1">
      <c r="B21" s="478" t="s">
        <v>134</v>
      </c>
      <c r="C21" s="66"/>
      <c r="D21" s="67"/>
      <c r="E21" s="87" t="s">
        <v>135</v>
      </c>
      <c r="F21" s="466" t="s">
        <v>136</v>
      </c>
      <c r="G21" s="466" t="s">
        <v>137</v>
      </c>
      <c r="H21" s="466" t="s">
        <v>138</v>
      </c>
      <c r="I21" s="469" t="s">
        <v>139</v>
      </c>
      <c r="K21" s="162" t="s">
        <v>528</v>
      </c>
    </row>
    <row r="22" spans="2:11" ht="27" customHeight="1">
      <c r="B22" s="479"/>
      <c r="C22" s="450" t="s">
        <v>122</v>
      </c>
      <c r="D22" s="451"/>
      <c r="E22" s="88"/>
      <c r="F22" s="481"/>
      <c r="G22" s="467"/>
      <c r="H22" s="468"/>
      <c r="I22" s="470"/>
    </row>
    <row r="23" spans="2:11" ht="27" customHeight="1">
      <c r="B23" s="479"/>
      <c r="C23" s="461" t="s">
        <v>140</v>
      </c>
      <c r="D23" s="462"/>
      <c r="E23" s="471"/>
      <c r="F23" s="89">
        <f>IFERROR(ROUND(H23/G23,0), "")</f>
        <v>11023</v>
      </c>
      <c r="G23" s="89">
        <f>償却資産!D78</f>
        <v>487</v>
      </c>
      <c r="H23" s="90">
        <f>償却資産!E78</f>
        <v>5368245</v>
      </c>
      <c r="I23" s="91" t="s">
        <v>141</v>
      </c>
    </row>
    <row r="24" spans="2:11" ht="27" customHeight="1">
      <c r="B24" s="479"/>
      <c r="C24" s="461" t="s">
        <v>142</v>
      </c>
      <c r="D24" s="462"/>
      <c r="E24" s="471"/>
      <c r="F24" s="89">
        <f>IFERROR(ROUND(H24/G24,0), "")</f>
        <v>2630</v>
      </c>
      <c r="G24" s="89">
        <f>償却資産!D79</f>
        <v>487</v>
      </c>
      <c r="H24" s="90">
        <f>償却資産!E79</f>
        <v>1280740</v>
      </c>
      <c r="I24" s="91" t="s">
        <v>141</v>
      </c>
    </row>
    <row r="25" spans="2:11" ht="27" customHeight="1">
      <c r="B25" s="479"/>
      <c r="C25" s="461" t="s">
        <v>143</v>
      </c>
      <c r="D25" s="462"/>
      <c r="E25" s="471"/>
      <c r="F25" s="89">
        <f>IFERROR(ROUND((H25+I25)/G25,0), "")</f>
        <v>7301</v>
      </c>
      <c r="G25" s="89">
        <f>償却資産!D80</f>
        <v>487</v>
      </c>
      <c r="H25" s="90">
        <f>償却資産!E80</f>
        <v>0</v>
      </c>
      <c r="I25" s="133">
        <f>償却資産!F80</f>
        <v>3555750</v>
      </c>
    </row>
    <row r="26" spans="2:11" ht="27" customHeight="1">
      <c r="B26" s="479"/>
      <c r="C26" s="482" t="s">
        <v>144</v>
      </c>
      <c r="D26" s="483"/>
      <c r="E26" s="484"/>
      <c r="F26" s="89" t="str">
        <f t="shared" ref="F26:F33" si="0">IFERROR(ROUND(H26/G26,0), "")</f>
        <v/>
      </c>
      <c r="G26" s="89">
        <f>償却資産!D81</f>
        <v>0</v>
      </c>
      <c r="H26" s="90">
        <f>償却資産!E81</f>
        <v>0</v>
      </c>
      <c r="I26" s="91" t="s">
        <v>141</v>
      </c>
    </row>
    <row r="27" spans="2:11" ht="27" customHeight="1">
      <c r="B27" s="479"/>
      <c r="C27" s="485" t="s">
        <v>145</v>
      </c>
      <c r="D27" s="474" t="s">
        <v>146</v>
      </c>
      <c r="E27" s="92" t="s">
        <v>147</v>
      </c>
      <c r="F27" s="89"/>
      <c r="G27" s="93">
        <v>0</v>
      </c>
      <c r="H27" s="90" t="s">
        <v>447</v>
      </c>
      <c r="I27" s="91" t="s">
        <v>141</v>
      </c>
    </row>
    <row r="28" spans="2:11" ht="27" customHeight="1">
      <c r="B28" s="479"/>
      <c r="C28" s="472"/>
      <c r="D28" s="486"/>
      <c r="E28" s="92" t="s">
        <v>148</v>
      </c>
      <c r="F28" s="89" t="str">
        <f>IFERROR(ROUND((H28+I28)/G28,0), "")</f>
        <v/>
      </c>
      <c r="G28" s="89">
        <f>償却資産!D82</f>
        <v>0</v>
      </c>
      <c r="H28" s="90">
        <f>償却資産!E82</f>
        <v>0</v>
      </c>
      <c r="I28" s="133">
        <f>償却資産!F82</f>
        <v>0</v>
      </c>
    </row>
    <row r="29" spans="2:11" ht="27" customHeight="1">
      <c r="B29" s="479"/>
      <c r="C29" s="472" t="s">
        <v>149</v>
      </c>
      <c r="D29" s="474" t="s">
        <v>150</v>
      </c>
      <c r="E29" s="92" t="s">
        <v>151</v>
      </c>
      <c r="F29" s="89"/>
      <c r="G29" s="93">
        <v>0</v>
      </c>
      <c r="H29" s="90" t="s">
        <v>447</v>
      </c>
      <c r="I29" s="91" t="s">
        <v>141</v>
      </c>
    </row>
    <row r="30" spans="2:11" ht="27" customHeight="1">
      <c r="B30" s="479"/>
      <c r="C30" s="473"/>
      <c r="D30" s="475"/>
      <c r="E30" s="92" t="s">
        <v>148</v>
      </c>
      <c r="F30" s="89">
        <f>IFERROR(ROUND((H30+I30)/G30,0), "")</f>
        <v>75594</v>
      </c>
      <c r="G30" s="89">
        <f>償却資産!D83</f>
        <v>487</v>
      </c>
      <c r="H30" s="90">
        <f>償却資産!E83</f>
        <v>0</v>
      </c>
      <c r="I30" s="133">
        <f>償却資産!F83</f>
        <v>36814400</v>
      </c>
    </row>
    <row r="31" spans="2:11" ht="27" customHeight="1">
      <c r="B31" s="479"/>
      <c r="C31" s="450" t="s">
        <v>152</v>
      </c>
      <c r="D31" s="490"/>
      <c r="E31" s="491"/>
      <c r="F31" s="89">
        <f t="shared" si="0"/>
        <v>11010</v>
      </c>
      <c r="G31" s="89">
        <f>償却資産!D84</f>
        <v>487</v>
      </c>
      <c r="H31" s="90">
        <f>償却資産!E84</f>
        <v>5361870</v>
      </c>
      <c r="I31" s="91" t="s">
        <v>141</v>
      </c>
    </row>
    <row r="32" spans="2:11" ht="27" customHeight="1">
      <c r="B32" s="479"/>
      <c r="C32" s="461" t="s">
        <v>153</v>
      </c>
      <c r="D32" s="462"/>
      <c r="E32" s="471"/>
      <c r="F32" s="89" t="str">
        <f t="shared" si="0"/>
        <v/>
      </c>
      <c r="G32" s="89">
        <f>償却資産!D85</f>
        <v>0</v>
      </c>
      <c r="H32" s="90">
        <f>償却資産!E85</f>
        <v>0</v>
      </c>
      <c r="I32" s="91" t="s">
        <v>141</v>
      </c>
    </row>
    <row r="33" spans="2:11" ht="27" customHeight="1">
      <c r="B33" s="479"/>
      <c r="C33" s="461" t="s">
        <v>759</v>
      </c>
      <c r="D33" s="462"/>
      <c r="E33" s="471"/>
      <c r="F33" s="89">
        <f t="shared" si="0"/>
        <v>0</v>
      </c>
      <c r="G33" s="90">
        <f>ナビ!D11</f>
        <v>487</v>
      </c>
      <c r="H33" s="90">
        <f>車両!K10</f>
        <v>0</v>
      </c>
      <c r="I33" s="91" t="s">
        <v>141</v>
      </c>
    </row>
    <row r="34" spans="2:11" ht="27" customHeight="1">
      <c r="B34" s="479"/>
      <c r="C34" s="492" t="s">
        <v>154</v>
      </c>
      <c r="D34" s="493"/>
      <c r="E34" s="493"/>
      <c r="F34" s="493"/>
      <c r="G34" s="494"/>
      <c r="H34" s="94">
        <f>SUM(H23:H33)</f>
        <v>12010855</v>
      </c>
      <c r="I34" s="91" t="s">
        <v>141</v>
      </c>
    </row>
    <row r="35" spans="2:11" ht="27" customHeight="1">
      <c r="B35" s="479"/>
      <c r="C35" s="492" t="s">
        <v>155</v>
      </c>
      <c r="D35" s="495"/>
      <c r="E35" s="495"/>
      <c r="F35" s="495"/>
      <c r="G35" s="496"/>
      <c r="H35" s="95" t="s">
        <v>141</v>
      </c>
      <c r="I35" s="96">
        <f>SUM(I23:I34)</f>
        <v>40370150</v>
      </c>
    </row>
    <row r="36" spans="2:11" ht="27" customHeight="1" thickBot="1">
      <c r="B36" s="480"/>
      <c r="C36" s="497" t="s">
        <v>156</v>
      </c>
      <c r="D36" s="498"/>
      <c r="E36" s="498"/>
      <c r="F36" s="498"/>
      <c r="G36" s="499"/>
      <c r="H36" s="143"/>
      <c r="I36" s="144">
        <f>H34+I35</f>
        <v>52381005</v>
      </c>
      <c r="K36" s="148"/>
    </row>
    <row r="37" spans="2:11" ht="27" customHeight="1" thickTop="1" thickBot="1">
      <c r="B37" s="487" t="s">
        <v>157</v>
      </c>
      <c r="C37" s="488"/>
      <c r="D37" s="488"/>
      <c r="E37" s="488"/>
      <c r="F37" s="488"/>
      <c r="G37" s="489"/>
      <c r="H37" s="145"/>
      <c r="I37" s="146">
        <f>SUM(H19,I36)</f>
        <v>59334450</v>
      </c>
    </row>
    <row r="38" spans="2:11">
      <c r="B38" s="64"/>
      <c r="C38" s="64"/>
      <c r="D38" s="64"/>
      <c r="E38" s="64"/>
      <c r="F38" s="64"/>
      <c r="G38" s="64"/>
      <c r="H38" s="23"/>
      <c r="I38" s="23"/>
    </row>
  </sheetData>
  <mergeCells count="38">
    <mergeCell ref="B37:G37"/>
    <mergeCell ref="C31:E31"/>
    <mergeCell ref="C32:E32"/>
    <mergeCell ref="C33:E33"/>
    <mergeCell ref="C34:G34"/>
    <mergeCell ref="C35:G35"/>
    <mergeCell ref="C36:G36"/>
    <mergeCell ref="C29:C30"/>
    <mergeCell ref="D29:D30"/>
    <mergeCell ref="C19:D19"/>
    <mergeCell ref="B21:B36"/>
    <mergeCell ref="F21:F22"/>
    <mergeCell ref="C24:E24"/>
    <mergeCell ref="C25:E25"/>
    <mergeCell ref="C26:E26"/>
    <mergeCell ref="C27:C28"/>
    <mergeCell ref="D27:D28"/>
    <mergeCell ref="G21:G22"/>
    <mergeCell ref="H21:H22"/>
    <mergeCell ref="I21:I22"/>
    <mergeCell ref="C22:D22"/>
    <mergeCell ref="C23:E23"/>
    <mergeCell ref="C15:D15"/>
    <mergeCell ref="C16:D16"/>
    <mergeCell ref="B17:B18"/>
    <mergeCell ref="C17:E17"/>
    <mergeCell ref="C18:D18"/>
    <mergeCell ref="B4:I4"/>
    <mergeCell ref="B6:I6"/>
    <mergeCell ref="B7:D7"/>
    <mergeCell ref="F7:G7"/>
    <mergeCell ref="B10:I10"/>
    <mergeCell ref="F12:F13"/>
    <mergeCell ref="G12:G13"/>
    <mergeCell ref="H12:H13"/>
    <mergeCell ref="I12:I13"/>
    <mergeCell ref="B13:B14"/>
    <mergeCell ref="C13:D13"/>
  </mergeCells>
  <phoneticPr fontId="4"/>
  <hyperlinks>
    <hyperlink ref="K7" location="販売量!C3" display="→販売量シートへ" xr:uid="{EC2FEEF1-A967-1E4F-8D3A-86097DD52183}"/>
    <hyperlink ref="K12" location="土地!C5" display="土地シートへ" xr:uid="{02E4CAC5-EB4C-1D41-845C-46E2D3CD4AF3}"/>
    <hyperlink ref="K21" location="償却資産!C6" display="償却資産シートへ" xr:uid="{9847AAEA-38D9-E947-8086-3C8F9A8565F3}"/>
  </hyperlinks>
  <pageMargins left="0.70866141732283472" right="0.70866141732283472" top="0.74803149606299213" bottom="0.74803149606299213" header="0.31496062992125984" footer="0.31496062992125984"/>
  <pageSetup paperSize="9" scale="64" orientation="portrait" horizontalDpi="0" verticalDpi="0"/>
  <ignoredErrors>
    <ignoredError sqref="F25" formula="1"/>
  </ignoredError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6216E-039F-E542-8973-58BD4F33DE86}">
  <sheetPr codeName="Sheet4">
    <tabColor theme="4" tint="0.79998168889431442"/>
  </sheetPr>
  <dimension ref="A1:N66"/>
  <sheetViews>
    <sheetView showGridLines="0" showRowColHeaders="0" tabSelected="1" topLeftCell="A38" zoomScale="120" zoomScaleNormal="120" workbookViewId="0">
      <selection activeCell="J53" sqref="J53"/>
    </sheetView>
  </sheetViews>
  <sheetFormatPr baseColWidth="10" defaultColWidth="11.140625" defaultRowHeight="24" customHeight="1"/>
  <cols>
    <col min="1" max="1" width="5" style="1" customWidth="1"/>
    <col min="2" max="2" width="19.42578125" style="1" customWidth="1"/>
    <col min="3" max="3" width="4.85546875" style="1" customWidth="1"/>
    <col min="4" max="4" width="14.28515625" style="1" customWidth="1"/>
    <col min="5" max="5" width="4.85546875" style="1" customWidth="1"/>
    <col min="6" max="6" width="9.140625" style="1" customWidth="1"/>
    <col min="7" max="7" width="19.42578125" style="1" customWidth="1"/>
    <col min="8" max="8" width="4.85546875" style="1" customWidth="1"/>
    <col min="9" max="9" width="5" customWidth="1"/>
  </cols>
  <sheetData>
    <row r="1" spans="1:14" ht="25" customHeight="1"/>
    <row r="2" spans="1:14" ht="24" customHeight="1">
      <c r="B2" s="1" t="s">
        <v>0</v>
      </c>
      <c r="H2" s="396"/>
      <c r="I2" s="397" t="str">
        <f>ナビ!C4</f>
        <v>　</v>
      </c>
    </row>
    <row r="3" spans="1:14" ht="24" customHeight="1">
      <c r="A3" s="2"/>
      <c r="B3" s="502" t="s">
        <v>1</v>
      </c>
      <c r="C3" s="453"/>
      <c r="D3" s="453"/>
      <c r="E3" s="453"/>
      <c r="F3" s="453"/>
      <c r="G3" s="453"/>
      <c r="H3" s="453"/>
    </row>
    <row r="4" spans="1:14" ht="24" customHeight="1">
      <c r="A4" s="2"/>
      <c r="B4" s="2"/>
      <c r="C4" s="2"/>
      <c r="D4" s="4"/>
      <c r="E4" s="4"/>
      <c r="F4" s="4"/>
      <c r="G4" s="4"/>
      <c r="H4" s="4"/>
    </row>
    <row r="5" spans="1:14" ht="24" customHeight="1" thickBot="1">
      <c r="A5" s="2"/>
      <c r="B5" s="503" t="s">
        <v>2</v>
      </c>
      <c r="C5" s="504"/>
      <c r="D5" s="504"/>
      <c r="E5" s="504"/>
      <c r="F5" s="504"/>
      <c r="G5" s="504"/>
      <c r="H5" s="504"/>
    </row>
    <row r="6" spans="1:14" ht="24" customHeight="1">
      <c r="A6" s="2"/>
      <c r="B6" s="505" t="s">
        <v>3</v>
      </c>
      <c r="C6" s="506"/>
      <c r="D6" s="506"/>
      <c r="E6" s="506"/>
      <c r="F6" s="506"/>
      <c r="G6" s="506"/>
      <c r="H6" s="507"/>
      <c r="J6" s="142"/>
      <c r="K6" s="142"/>
    </row>
    <row r="7" spans="1:14" ht="24" customHeight="1" thickBot="1">
      <c r="A7" s="2"/>
      <c r="B7" s="5">
        <f>'1_a'!H7</f>
        <v>51621.886618181823</v>
      </c>
      <c r="C7" s="6" t="s">
        <v>4</v>
      </c>
      <c r="D7" s="508">
        <f>VLOOKUP(ナビ!E6,標準係数B!B4:G50,6,FALSE)</f>
        <v>0.47599999999999998</v>
      </c>
      <c r="E7" s="509"/>
      <c r="F7" s="6" t="s">
        <v>5</v>
      </c>
      <c r="G7" s="7">
        <f>ROUND(B7/D7,2)</f>
        <v>108449.34</v>
      </c>
      <c r="H7" s="415" t="s">
        <v>6</v>
      </c>
      <c r="J7" s="142"/>
      <c r="K7" s="142"/>
    </row>
    <row r="8" spans="1:14" ht="24" customHeight="1" thickBot="1">
      <c r="A8" s="2"/>
      <c r="B8" s="9"/>
      <c r="C8" s="4"/>
      <c r="D8" s="10"/>
      <c r="E8" s="10"/>
      <c r="F8" s="4"/>
      <c r="G8" s="11"/>
      <c r="H8" s="4"/>
      <c r="J8" s="142"/>
      <c r="K8" s="142"/>
    </row>
    <row r="9" spans="1:14" ht="24" customHeight="1">
      <c r="A9" s="2"/>
      <c r="B9" s="505" t="s">
        <v>7</v>
      </c>
      <c r="C9" s="506"/>
      <c r="D9" s="506"/>
      <c r="E9" s="506"/>
      <c r="F9" s="506"/>
      <c r="G9" s="506"/>
      <c r="H9" s="507"/>
    </row>
    <row r="10" spans="1:14" ht="24" customHeight="1" thickBot="1">
      <c r="A10" s="2"/>
      <c r="B10" s="224">
        <f>ナビ!D14</f>
        <v>106.05</v>
      </c>
      <c r="C10" s="6" t="s">
        <v>8</v>
      </c>
      <c r="D10" s="500">
        <f>G7</f>
        <v>108449.34</v>
      </c>
      <c r="E10" s="501"/>
      <c r="F10" s="6" t="s">
        <v>9</v>
      </c>
      <c r="G10" s="12">
        <f>ROUNDDOWN(B10*D10,0)</f>
        <v>11501052</v>
      </c>
      <c r="H10" s="8" t="s">
        <v>10</v>
      </c>
    </row>
    <row r="11" spans="1:14" ht="24" customHeight="1">
      <c r="A11" s="2"/>
      <c r="B11" s="4"/>
      <c r="C11" s="4"/>
      <c r="D11" s="4"/>
      <c r="E11" s="4"/>
      <c r="F11" s="4"/>
      <c r="G11" s="4"/>
      <c r="H11" s="4"/>
    </row>
    <row r="12" spans="1:14" ht="24" customHeight="1" thickBot="1">
      <c r="A12" s="2"/>
      <c r="B12" s="503" t="s">
        <v>11</v>
      </c>
      <c r="C12" s="504"/>
      <c r="D12" s="504"/>
      <c r="E12" s="504"/>
      <c r="F12" s="504"/>
      <c r="G12" s="504"/>
      <c r="H12" s="504"/>
      <c r="K12" s="378" t="s">
        <v>732</v>
      </c>
      <c r="L12" s="97"/>
      <c r="M12" s="97"/>
      <c r="N12" s="97"/>
    </row>
    <row r="13" spans="1:14" ht="24" customHeight="1">
      <c r="A13" s="2"/>
      <c r="B13" s="505" t="s">
        <v>12</v>
      </c>
      <c r="C13" s="506"/>
      <c r="D13" s="506"/>
      <c r="E13" s="506"/>
      <c r="F13" s="506"/>
      <c r="G13" s="506"/>
      <c r="H13" s="507"/>
      <c r="K13" s="379" t="s">
        <v>727</v>
      </c>
      <c r="L13" s="380" t="s">
        <v>454</v>
      </c>
      <c r="M13" s="380" t="s">
        <v>728</v>
      </c>
      <c r="N13" s="381" t="s">
        <v>729</v>
      </c>
    </row>
    <row r="14" spans="1:14" ht="24" customHeight="1" thickBot="1">
      <c r="A14" s="2"/>
      <c r="B14" s="13">
        <f>ROUND(G14/D14,5)</f>
        <v>3.0999999999999999E-3</v>
      </c>
      <c r="C14" s="6" t="s">
        <v>13</v>
      </c>
      <c r="D14" s="512">
        <f>ナビ!D11</f>
        <v>487</v>
      </c>
      <c r="E14" s="513"/>
      <c r="F14" s="14"/>
      <c r="G14" s="15">
        <f>N16</f>
        <v>1.5097</v>
      </c>
      <c r="H14" s="8" t="s">
        <v>13</v>
      </c>
      <c r="K14" s="382" t="s">
        <v>730</v>
      </c>
      <c r="L14" s="110">
        <f>標準係数B!K4</f>
        <v>3.2000000000000002E-3</v>
      </c>
      <c r="M14" s="117">
        <f>償却資産!D64+償却資産!D66</f>
        <v>0</v>
      </c>
      <c r="N14" s="383">
        <f>L14*M14</f>
        <v>0</v>
      </c>
    </row>
    <row r="15" spans="1:14" ht="24" customHeight="1" thickBot="1">
      <c r="A15" s="2"/>
      <c r="B15" s="2"/>
      <c r="C15" s="4"/>
      <c r="D15" s="4"/>
      <c r="E15" s="4"/>
      <c r="F15" s="4"/>
      <c r="G15" s="4"/>
      <c r="H15" s="4"/>
      <c r="K15" s="384" t="s">
        <v>731</v>
      </c>
      <c r="L15" s="208">
        <f>標準係数B!K5</f>
        <v>3.0999999999999999E-3</v>
      </c>
      <c r="M15" s="117">
        <f>償却資産!D65+償却資産!D67</f>
        <v>487</v>
      </c>
      <c r="N15" s="383">
        <f>L15*M15</f>
        <v>1.5097</v>
      </c>
    </row>
    <row r="16" spans="1:14" ht="24" customHeight="1" thickBot="1">
      <c r="A16" s="2"/>
      <c r="B16" s="505" t="s">
        <v>14</v>
      </c>
      <c r="C16" s="506"/>
      <c r="D16" s="506"/>
      <c r="E16" s="506"/>
      <c r="F16" s="506"/>
      <c r="G16" s="506"/>
      <c r="H16" s="507"/>
      <c r="K16" s="385" t="s">
        <v>339</v>
      </c>
      <c r="L16" s="386"/>
      <c r="M16" s="387">
        <f>SUM(M14:M15)</f>
        <v>487</v>
      </c>
      <c r="N16" s="388">
        <f>SUM(N14:N15)</f>
        <v>1.5097</v>
      </c>
    </row>
    <row r="17" spans="1:13" ht="24" customHeight="1" thickBot="1">
      <c r="A17" s="2"/>
      <c r="B17" s="254">
        <f>VLOOKUP(ナビ!E6,標準係数B!B4:G50,4,FALSE)</f>
        <v>5683000</v>
      </c>
      <c r="C17" s="6" t="s">
        <v>10</v>
      </c>
      <c r="D17" s="520">
        <f>G14</f>
        <v>1.5097</v>
      </c>
      <c r="E17" s="521"/>
      <c r="F17" s="522"/>
      <c r="G17" s="12">
        <f>ROUND(B17*D17,0)</f>
        <v>8579625</v>
      </c>
      <c r="H17" s="8" t="s">
        <v>10</v>
      </c>
      <c r="M17" s="389" t="str">
        <f>IF(M16=ナビ!D11,"","導管地点数エラー")</f>
        <v/>
      </c>
    </row>
    <row r="18" spans="1:13" ht="24" customHeight="1">
      <c r="A18" s="2"/>
      <c r="B18" s="4"/>
      <c r="C18" s="4"/>
      <c r="D18" s="4"/>
      <c r="E18" s="4"/>
      <c r="F18" s="4"/>
      <c r="G18" s="4"/>
      <c r="H18" s="4"/>
      <c r="L18" s="392"/>
    </row>
    <row r="19" spans="1:13" ht="24" customHeight="1" thickBot="1">
      <c r="A19" s="2"/>
      <c r="B19" s="503" t="s">
        <v>15</v>
      </c>
      <c r="C19" s="504"/>
      <c r="D19" s="504"/>
      <c r="E19" s="504"/>
      <c r="F19" s="504"/>
      <c r="G19" s="504"/>
      <c r="H19" s="504"/>
    </row>
    <row r="20" spans="1:13" ht="24" customHeight="1">
      <c r="A20" s="2"/>
      <c r="B20" s="514" t="s">
        <v>16</v>
      </c>
      <c r="C20" s="515"/>
      <c r="D20" s="515"/>
      <c r="E20" s="515"/>
      <c r="F20" s="515"/>
      <c r="G20" s="515"/>
      <c r="H20" s="516"/>
    </row>
    <row r="21" spans="1:13" ht="24" customHeight="1" thickBot="1">
      <c r="A21" s="2"/>
      <c r="B21" s="16">
        <f>'1_a'!I36</f>
        <v>52381005</v>
      </c>
      <c r="C21" s="6" t="s">
        <v>460</v>
      </c>
      <c r="D21" s="526">
        <f>G21/B21</f>
        <v>3.000003531814634E-2</v>
      </c>
      <c r="E21" s="527"/>
      <c r="F21" s="528"/>
      <c r="G21" s="12">
        <f>償却資産!Q56+車両!K12</f>
        <v>1571432</v>
      </c>
      <c r="H21" s="8" t="s">
        <v>10</v>
      </c>
    </row>
    <row r="22" spans="1:13" ht="24" customHeight="1" thickBot="1">
      <c r="A22" s="2"/>
      <c r="B22" s="17"/>
      <c r="C22" s="4"/>
      <c r="D22" s="4"/>
      <c r="E22" s="4"/>
      <c r="F22" s="4"/>
      <c r="G22" s="18"/>
      <c r="H22" s="4"/>
    </row>
    <row r="23" spans="1:13" ht="24" customHeight="1">
      <c r="A23" s="2"/>
      <c r="B23" s="517" t="s">
        <v>17</v>
      </c>
      <c r="C23" s="518"/>
      <c r="D23" s="518"/>
      <c r="E23" s="518"/>
      <c r="F23" s="518"/>
      <c r="G23" s="518"/>
      <c r="H23" s="519"/>
    </row>
    <row r="24" spans="1:13" ht="24" customHeight="1" thickBot="1">
      <c r="A24" s="2"/>
      <c r="B24" s="16"/>
      <c r="C24" s="6" t="s">
        <v>10</v>
      </c>
      <c r="D24" s="520" t="str">
        <f>IF(B24=0,"－",ROUND(G24/B24,5))</f>
        <v>－</v>
      </c>
      <c r="E24" s="521"/>
      <c r="F24" s="522"/>
      <c r="G24" s="12">
        <v>0</v>
      </c>
      <c r="H24" s="8" t="s">
        <v>10</v>
      </c>
    </row>
    <row r="25" spans="1:13" ht="24" customHeight="1" thickBot="1">
      <c r="A25" s="2"/>
      <c r="B25" s="18"/>
      <c r="C25" s="4"/>
      <c r="D25" s="4"/>
      <c r="E25" s="4"/>
      <c r="F25" s="4"/>
      <c r="G25" s="18"/>
      <c r="H25" s="4"/>
    </row>
    <row r="26" spans="1:13" ht="24" customHeight="1" thickBot="1">
      <c r="A26" s="2"/>
      <c r="B26" s="523" t="s">
        <v>18</v>
      </c>
      <c r="C26" s="524"/>
      <c r="D26" s="524"/>
      <c r="E26" s="524"/>
      <c r="F26" s="525"/>
      <c r="G26" s="20">
        <f>SUM(G21,G24)</f>
        <v>1571432</v>
      </c>
      <c r="H26" s="21" t="s">
        <v>10</v>
      </c>
    </row>
    <row r="27" spans="1:13" ht="24" customHeight="1">
      <c r="A27" s="2"/>
      <c r="B27" s="4"/>
      <c r="C27" s="4"/>
      <c r="D27" s="4"/>
      <c r="E27" s="4"/>
      <c r="F27" s="4"/>
      <c r="G27" s="4"/>
      <c r="H27" s="4"/>
    </row>
    <row r="28" spans="1:13" ht="24" customHeight="1">
      <c r="A28" s="2"/>
      <c r="B28" s="4"/>
      <c r="C28" s="4"/>
      <c r="D28" s="4"/>
      <c r="E28" s="4"/>
      <c r="F28" s="4"/>
      <c r="G28" s="4"/>
      <c r="H28" s="4"/>
    </row>
    <row r="29" spans="1:13" ht="24" customHeight="1">
      <c r="A29" s="2"/>
      <c r="B29" s="4"/>
      <c r="C29" s="4"/>
      <c r="D29" s="2"/>
      <c r="E29" s="2"/>
      <c r="F29" s="22"/>
      <c r="G29" s="23"/>
      <c r="H29" s="4"/>
      <c r="I29" s="400" t="str">
        <f>ナビ!C4</f>
        <v>　</v>
      </c>
    </row>
    <row r="30" spans="1:13" ht="24" customHeight="1">
      <c r="A30" s="2"/>
      <c r="B30" s="510" t="s">
        <v>19</v>
      </c>
      <c r="C30" s="511"/>
      <c r="D30" s="511"/>
      <c r="E30" s="511"/>
      <c r="F30" s="511"/>
      <c r="G30" s="511"/>
      <c r="H30" s="511"/>
    </row>
    <row r="31" spans="1:13" ht="24" customHeight="1">
      <c r="A31" s="2"/>
      <c r="B31" s="532" t="s">
        <v>20</v>
      </c>
      <c r="C31" s="532"/>
      <c r="D31" s="532"/>
      <c r="E31" s="532"/>
      <c r="F31" s="532"/>
      <c r="G31" s="532"/>
      <c r="H31" s="532"/>
    </row>
    <row r="32" spans="1:13" ht="24" customHeight="1" thickBot="1">
      <c r="A32" s="2"/>
      <c r="B32" s="4" t="s">
        <v>21</v>
      </c>
      <c r="C32" s="4"/>
      <c r="D32" s="4"/>
      <c r="E32" s="4"/>
      <c r="F32" s="22"/>
      <c r="G32" s="23"/>
      <c r="H32" s="4"/>
    </row>
    <row r="33" spans="1:8" ht="32" customHeight="1">
      <c r="A33" s="2"/>
      <c r="B33" s="533" t="s">
        <v>22</v>
      </c>
      <c r="C33" s="534"/>
      <c r="D33" s="548" t="s">
        <v>760</v>
      </c>
      <c r="E33" s="548"/>
      <c r="F33" s="548"/>
      <c r="G33" s="548"/>
      <c r="H33" s="549"/>
    </row>
    <row r="34" spans="1:8" ht="24" customHeight="1" thickBot="1">
      <c r="A34" s="2"/>
      <c r="B34" s="16">
        <f>ROUND(土地!O15,0)</f>
        <v>2784210</v>
      </c>
      <c r="C34" s="6" t="s">
        <v>10</v>
      </c>
      <c r="D34" s="520">
        <f>IF(B34&gt;=0,標準係数B!K9,"－")</f>
        <v>1.7000000000000001E-2</v>
      </c>
      <c r="E34" s="521"/>
      <c r="F34" s="522"/>
      <c r="G34" s="12">
        <f>ROUND(B34*D34,0)</f>
        <v>47332</v>
      </c>
      <c r="H34" s="8" t="s">
        <v>10</v>
      </c>
    </row>
    <row r="35" spans="1:8" ht="24" customHeight="1" thickBot="1">
      <c r="A35" s="2"/>
      <c r="B35" s="18" t="s">
        <v>23</v>
      </c>
      <c r="C35" s="4"/>
      <c r="D35" s="4"/>
      <c r="E35" s="4"/>
      <c r="F35" s="4"/>
      <c r="G35" s="18"/>
      <c r="H35" s="4"/>
    </row>
    <row r="36" spans="1:8" ht="32" customHeight="1">
      <c r="A36" s="2"/>
      <c r="B36" s="416" t="s">
        <v>24</v>
      </c>
      <c r="C36" s="417" t="s">
        <v>25</v>
      </c>
      <c r="D36" s="418" t="s">
        <v>758</v>
      </c>
      <c r="E36" s="418"/>
      <c r="F36" s="418"/>
      <c r="G36" s="419" t="s">
        <v>26</v>
      </c>
      <c r="H36" s="420"/>
    </row>
    <row r="37" spans="1:8" ht="24" customHeight="1" thickBot="1">
      <c r="A37" s="2"/>
      <c r="B37" s="24">
        <f>'1_a'!H34</f>
        <v>12010855</v>
      </c>
      <c r="C37" s="6" t="s">
        <v>10</v>
      </c>
      <c r="D37" s="25">
        <f>'1_a'!I35</f>
        <v>40370150</v>
      </c>
      <c r="E37" s="19" t="s">
        <v>27</v>
      </c>
      <c r="F37" s="26">
        <f>IF(ナビ!E15=0,標準係数B!K12,標準係数B!K11)</f>
        <v>0.46</v>
      </c>
      <c r="G37" s="12">
        <f>ROUND(B37/2+D37*F37/2,0)</f>
        <v>15290562</v>
      </c>
      <c r="H37" s="8" t="s">
        <v>10</v>
      </c>
    </row>
    <row r="38" spans="1:8" ht="24" customHeight="1" thickBot="1">
      <c r="A38" s="2"/>
      <c r="B38" s="18"/>
      <c r="C38" s="4"/>
      <c r="D38" s="4"/>
      <c r="E38" s="4"/>
      <c r="F38" s="4"/>
      <c r="G38" s="18"/>
      <c r="H38" s="4"/>
    </row>
    <row r="39" spans="1:8" ht="32" customHeight="1">
      <c r="A39" s="2"/>
      <c r="B39" s="421" t="s">
        <v>28</v>
      </c>
      <c r="C39" s="422" t="s">
        <v>29</v>
      </c>
      <c r="D39" s="422"/>
      <c r="E39" s="422"/>
      <c r="F39" s="422"/>
      <c r="G39" s="423" t="s">
        <v>30</v>
      </c>
      <c r="H39" s="424"/>
    </row>
    <row r="40" spans="1:8" ht="24" customHeight="1" thickBot="1">
      <c r="A40" s="2"/>
      <c r="B40" s="16">
        <f>G37</f>
        <v>15290562</v>
      </c>
      <c r="C40" s="6" t="s">
        <v>10</v>
      </c>
      <c r="D40" s="520">
        <f>標準係数B!K10</f>
        <v>1.4E-2</v>
      </c>
      <c r="E40" s="535"/>
      <c r="F40" s="536"/>
      <c r="G40" s="12">
        <f>ROUND(B40*D40,0)</f>
        <v>214068</v>
      </c>
      <c r="H40" s="8" t="s">
        <v>10</v>
      </c>
    </row>
    <row r="41" spans="1:8" ht="24" customHeight="1" thickBot="1">
      <c r="A41" s="2"/>
      <c r="B41" s="18"/>
      <c r="C41" s="4"/>
      <c r="D41" s="4"/>
      <c r="E41" s="4"/>
      <c r="F41" s="4"/>
      <c r="G41" s="18"/>
      <c r="H41" s="4"/>
    </row>
    <row r="42" spans="1:8" ht="24" customHeight="1" thickBot="1">
      <c r="A42" s="2"/>
      <c r="B42" s="523" t="s">
        <v>31</v>
      </c>
      <c r="C42" s="537"/>
      <c r="D42" s="537"/>
      <c r="E42" s="537"/>
      <c r="F42" s="538"/>
      <c r="G42" s="20">
        <f>G34+G40</f>
        <v>261400</v>
      </c>
      <c r="H42" s="21" t="s">
        <v>10</v>
      </c>
    </row>
    <row r="43" spans="1:8" ht="24" customHeight="1">
      <c r="A43" s="2"/>
      <c r="B43" s="18"/>
      <c r="C43" s="4"/>
      <c r="D43" s="4"/>
      <c r="E43" s="4"/>
      <c r="F43" s="4"/>
      <c r="G43" s="18"/>
      <c r="H43" s="4"/>
    </row>
    <row r="44" spans="1:8" ht="24" customHeight="1" thickBot="1">
      <c r="A44" s="2"/>
      <c r="B44" s="539" t="s">
        <v>32</v>
      </c>
      <c r="C44" s="539"/>
      <c r="D44" s="539"/>
      <c r="E44" s="539"/>
      <c r="F44" s="539"/>
      <c r="G44" s="539"/>
      <c r="H44" s="539"/>
    </row>
    <row r="45" spans="1:8" ht="30" customHeight="1">
      <c r="A45" s="2"/>
      <c r="B45" s="421" t="s">
        <v>33</v>
      </c>
      <c r="C45" s="540" t="s">
        <v>34</v>
      </c>
      <c r="D45" s="540"/>
      <c r="E45" s="541" t="s">
        <v>35</v>
      </c>
      <c r="F45" s="541"/>
      <c r="G45" s="541"/>
      <c r="H45" s="542"/>
    </row>
    <row r="46" spans="1:8" ht="24" customHeight="1" thickBot="1">
      <c r="A46" s="2"/>
      <c r="B46" s="16">
        <f>'1_c'!G25</f>
        <v>1613897</v>
      </c>
      <c r="C46" s="6" t="s">
        <v>10</v>
      </c>
      <c r="D46" s="27">
        <f>標準係数B!K15</f>
        <v>0.35</v>
      </c>
      <c r="E46" s="543">
        <f>標準係数B!K13/(1-標準係数B!K13)</f>
        <v>9.081735620585266E-3</v>
      </c>
      <c r="F46" s="544"/>
      <c r="G46" s="12">
        <f>ROUND(B46*D46*E46,0)</f>
        <v>5130</v>
      </c>
      <c r="H46" s="8" t="s">
        <v>10</v>
      </c>
    </row>
    <row r="47" spans="1:8" ht="24" customHeight="1">
      <c r="A47" s="2"/>
      <c r="B47" s="18"/>
      <c r="C47" s="4"/>
      <c r="D47" s="4"/>
      <c r="E47" s="4"/>
      <c r="F47" s="28"/>
      <c r="G47" s="29"/>
      <c r="H47" s="4"/>
    </row>
    <row r="48" spans="1:8" ht="24" customHeight="1" thickBot="1">
      <c r="A48" s="2"/>
      <c r="B48" s="539" t="s">
        <v>36</v>
      </c>
      <c r="C48" s="539"/>
      <c r="D48" s="539"/>
      <c r="E48" s="539"/>
      <c r="F48" s="539"/>
      <c r="G48" s="539"/>
      <c r="H48" s="539"/>
    </row>
    <row r="49" spans="1:8" ht="24" customHeight="1">
      <c r="A49" s="2"/>
      <c r="B49" s="545" t="s">
        <v>37</v>
      </c>
      <c r="C49" s="546"/>
      <c r="D49" s="546"/>
      <c r="E49" s="546"/>
      <c r="F49" s="546"/>
      <c r="G49" s="546"/>
      <c r="H49" s="547"/>
    </row>
    <row r="50" spans="1:8" ht="24" customHeight="1" thickBot="1">
      <c r="A50" s="2"/>
      <c r="B50" s="24">
        <f>G50/D50</f>
        <v>700</v>
      </c>
      <c r="C50" s="30" t="s">
        <v>10</v>
      </c>
      <c r="D50" s="529">
        <f>SUM(ナビ!D11)</f>
        <v>487</v>
      </c>
      <c r="E50" s="530"/>
      <c r="F50" s="531"/>
      <c r="G50" s="12">
        <f>SUM(道路占用料!E8)</f>
        <v>340900</v>
      </c>
      <c r="H50" s="8" t="s">
        <v>10</v>
      </c>
    </row>
    <row r="51" spans="1:8" ht="24" customHeight="1">
      <c r="A51" s="2"/>
      <c r="B51" s="4"/>
      <c r="C51" s="4"/>
      <c r="D51" s="4"/>
      <c r="E51" s="4"/>
      <c r="F51" s="4"/>
      <c r="G51" s="4"/>
      <c r="H51" s="4"/>
    </row>
    <row r="52" spans="1:8" ht="24" customHeight="1" thickBot="1">
      <c r="A52" s="2"/>
      <c r="B52" s="503" t="s">
        <v>38</v>
      </c>
      <c r="C52" s="503"/>
      <c r="D52" s="503"/>
      <c r="E52" s="503"/>
      <c r="F52" s="503"/>
      <c r="G52" s="503"/>
      <c r="H52" s="503"/>
    </row>
    <row r="53" spans="1:8" ht="24" customHeight="1">
      <c r="A53" s="2"/>
      <c r="B53" s="554" t="s">
        <v>39</v>
      </c>
      <c r="C53" s="555"/>
      <c r="D53" s="555"/>
      <c r="E53" s="555"/>
      <c r="F53" s="555"/>
      <c r="G53" s="555"/>
      <c r="H53" s="556"/>
    </row>
    <row r="54" spans="1:8" ht="24" customHeight="1" thickBot="1">
      <c r="A54" s="2"/>
      <c r="B54" s="16">
        <f>'1_a'!I36-'1_a'!H33</f>
        <v>52381005</v>
      </c>
      <c r="C54" s="6" t="s">
        <v>10</v>
      </c>
      <c r="D54" s="557">
        <f>G54/B54</f>
        <v>7.4306878991726097E-2</v>
      </c>
      <c r="E54" s="558"/>
      <c r="F54" s="559"/>
      <c r="G54" s="12">
        <f>ROUND(償却資産!S56,0)</f>
        <v>3892269</v>
      </c>
      <c r="H54" s="8" t="s">
        <v>10</v>
      </c>
    </row>
    <row r="55" spans="1:8" ht="24" customHeight="1" thickBot="1">
      <c r="A55" s="2"/>
      <c r="B55" s="18"/>
      <c r="C55" s="4"/>
      <c r="D55" s="31"/>
      <c r="E55" s="32"/>
      <c r="F55" s="32"/>
      <c r="G55" s="18"/>
      <c r="H55" s="4"/>
    </row>
    <row r="56" spans="1:8" ht="24" customHeight="1">
      <c r="A56" s="2"/>
      <c r="B56" s="560" t="s">
        <v>40</v>
      </c>
      <c r="C56" s="561"/>
      <c r="D56" s="561"/>
      <c r="E56" s="561"/>
      <c r="F56" s="561"/>
      <c r="G56" s="561"/>
      <c r="H56" s="562"/>
    </row>
    <row r="57" spans="1:8" ht="24" customHeight="1" thickBot="1">
      <c r="A57" s="2"/>
      <c r="B57" s="16">
        <f>'1_a'!H33</f>
        <v>0</v>
      </c>
      <c r="C57" s="6" t="s">
        <v>10</v>
      </c>
      <c r="D57" s="563">
        <f>標準係数B!K30</f>
        <v>0.2</v>
      </c>
      <c r="E57" s="564"/>
      <c r="F57" s="565"/>
      <c r="G57" s="12">
        <f>IF(B57=0,0,ROUND(B57*D57,0))</f>
        <v>0</v>
      </c>
      <c r="H57" s="8" t="s">
        <v>10</v>
      </c>
    </row>
    <row r="58" spans="1:8" ht="24" customHeight="1" thickBot="1">
      <c r="A58" s="2"/>
      <c r="B58" s="18"/>
      <c r="C58" s="4"/>
      <c r="D58" s="4"/>
      <c r="E58" s="4"/>
      <c r="F58" s="4"/>
      <c r="G58" s="18"/>
      <c r="H58" s="4"/>
    </row>
    <row r="59" spans="1:8" ht="24" customHeight="1" thickBot="1">
      <c r="A59" s="2"/>
      <c r="B59" s="523" t="s">
        <v>41</v>
      </c>
      <c r="C59" s="524"/>
      <c r="D59" s="524"/>
      <c r="E59" s="524"/>
      <c r="F59" s="525"/>
      <c r="G59" s="20">
        <f>G54+G57</f>
        <v>3892269</v>
      </c>
      <c r="H59" s="21" t="s">
        <v>10</v>
      </c>
    </row>
    <row r="60" spans="1:8" ht="24" customHeight="1">
      <c r="A60" s="2"/>
      <c r="B60" s="4"/>
      <c r="C60" s="4"/>
      <c r="D60" s="4"/>
      <c r="E60" s="4"/>
      <c r="F60" s="4"/>
      <c r="G60" s="4"/>
      <c r="H60" s="4"/>
    </row>
    <row r="61" spans="1:8" ht="24" customHeight="1" thickBot="1">
      <c r="A61" s="2"/>
      <c r="B61" s="503" t="s">
        <v>42</v>
      </c>
      <c r="C61" s="503"/>
      <c r="D61" s="503"/>
      <c r="E61" s="503"/>
      <c r="F61" s="503"/>
      <c r="G61" s="503"/>
      <c r="H61" s="503"/>
    </row>
    <row r="62" spans="1:8" ht="32" customHeight="1">
      <c r="A62" s="2"/>
      <c r="B62" s="550" t="s">
        <v>43</v>
      </c>
      <c r="C62" s="551"/>
      <c r="D62" s="551"/>
      <c r="E62" s="552" t="s">
        <v>44</v>
      </c>
      <c r="F62" s="552"/>
      <c r="G62" s="552"/>
      <c r="H62" s="553"/>
    </row>
    <row r="63" spans="1:8" ht="24" customHeight="1" thickBot="1">
      <c r="A63" s="2"/>
      <c r="B63" s="24">
        <f>SUM('2_a'!E9:E12,'2_a'!E14:E15)</f>
        <v>26146678</v>
      </c>
      <c r="C63" s="6" t="s">
        <v>10</v>
      </c>
      <c r="D63" s="520">
        <f>標準係数B!K7</f>
        <v>0.15</v>
      </c>
      <c r="E63" s="535"/>
      <c r="F63" s="536"/>
      <c r="G63" s="12">
        <f>ROUND(B63*D63,0)</f>
        <v>3922002</v>
      </c>
      <c r="H63" s="8" t="s">
        <v>10</v>
      </c>
    </row>
    <row r="64" spans="1:8" ht="24" customHeight="1">
      <c r="A64" s="2"/>
      <c r="B64" s="4"/>
      <c r="C64" s="4"/>
      <c r="D64" s="4"/>
      <c r="E64" s="4"/>
      <c r="F64" s="4"/>
      <c r="G64" s="4"/>
      <c r="H64" s="4"/>
    </row>
    <row r="65" spans="1:8" ht="24" customHeight="1">
      <c r="A65" s="2"/>
      <c r="B65" s="4"/>
      <c r="C65" s="4"/>
      <c r="D65" s="4"/>
      <c r="E65" s="4"/>
      <c r="F65" s="4"/>
      <c r="G65" s="4"/>
      <c r="H65" s="4"/>
    </row>
    <row r="66" spans="1:8" ht="24" customHeight="1">
      <c r="A66" s="2"/>
    </row>
  </sheetData>
  <mergeCells count="41">
    <mergeCell ref="B61:H61"/>
    <mergeCell ref="B62:D62"/>
    <mergeCell ref="E62:H62"/>
    <mergeCell ref="D63:F63"/>
    <mergeCell ref="B52:H52"/>
    <mergeCell ref="B53:H53"/>
    <mergeCell ref="D54:F54"/>
    <mergeCell ref="B56:H56"/>
    <mergeCell ref="D57:F57"/>
    <mergeCell ref="B59:F59"/>
    <mergeCell ref="D50:F50"/>
    <mergeCell ref="B31:H31"/>
    <mergeCell ref="B33:C33"/>
    <mergeCell ref="D34:F34"/>
    <mergeCell ref="D40:F40"/>
    <mergeCell ref="B42:F42"/>
    <mergeCell ref="B44:H44"/>
    <mergeCell ref="C45:D45"/>
    <mergeCell ref="E45:H45"/>
    <mergeCell ref="E46:F46"/>
    <mergeCell ref="B48:H48"/>
    <mergeCell ref="B49:H49"/>
    <mergeCell ref="D33:H33"/>
    <mergeCell ref="B30:H30"/>
    <mergeCell ref="B12:H12"/>
    <mergeCell ref="B13:H13"/>
    <mergeCell ref="D14:E14"/>
    <mergeCell ref="B16:H16"/>
    <mergeCell ref="B19:H19"/>
    <mergeCell ref="B20:H20"/>
    <mergeCell ref="B23:H23"/>
    <mergeCell ref="D24:F24"/>
    <mergeCell ref="B26:F26"/>
    <mergeCell ref="D21:F21"/>
    <mergeCell ref="D17:F17"/>
    <mergeCell ref="D10:E10"/>
    <mergeCell ref="B3:H3"/>
    <mergeCell ref="B5:H5"/>
    <mergeCell ref="B6:H6"/>
    <mergeCell ref="D7:E7"/>
    <mergeCell ref="B9:H9"/>
  </mergeCells>
  <phoneticPr fontId="2"/>
  <pageMargins left="0.70866141732283472" right="0.70866141732283472" top="0.74803149606299213" bottom="0.74803149606299213" header="0.31496062992125984" footer="0.31496062992125984"/>
  <pageSetup paperSize="9" scale="81" fitToHeight="2" orientation="portrait" horizontalDpi="0" verticalDpi="0"/>
  <headerFooter>
    <oddHeader xml:space="preserve">&amp;C&amp;"System Font,標準"&amp;10&amp;K000000
</oddHeader>
  </headerFooter>
  <rowBreaks count="1" manualBreakCount="1">
    <brk id="28" max="8" man="1"/>
  </rowBreak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E9ECD-E24A-7A49-B1CD-C405CE0C1770}">
  <sheetPr codeName="Sheet5">
    <tabColor theme="4" tint="0.79998168889431442"/>
    <pageSetUpPr fitToPage="1"/>
  </sheetPr>
  <dimension ref="A1:J28"/>
  <sheetViews>
    <sheetView showGridLines="0" showRowColHeaders="0" zoomScale="140" zoomScaleNormal="140" workbookViewId="0"/>
  </sheetViews>
  <sheetFormatPr baseColWidth="10" defaultColWidth="11.140625" defaultRowHeight="24" customHeight="1"/>
  <cols>
    <col min="1" max="1" width="5" style="1" customWidth="1"/>
    <col min="2" max="2" width="19.42578125" style="1" customWidth="1"/>
    <col min="3" max="3" width="4.85546875" style="1" customWidth="1"/>
    <col min="4" max="4" width="14.28515625" style="1" customWidth="1"/>
    <col min="5" max="5" width="4.85546875" style="1" customWidth="1"/>
    <col min="6" max="6" width="9.140625" style="1" customWidth="1"/>
    <col min="7" max="7" width="19.42578125" style="1" customWidth="1"/>
    <col min="8" max="8" width="4.85546875" style="1" customWidth="1"/>
    <col min="9" max="9" width="5" customWidth="1"/>
  </cols>
  <sheetData>
    <row r="1" spans="1:10" ht="25" customHeight="1">
      <c r="A1" s="2"/>
      <c r="B1" s="4"/>
      <c r="C1" s="4"/>
      <c r="D1" s="4"/>
      <c r="E1" s="4"/>
      <c r="F1" s="4"/>
      <c r="G1" s="4"/>
      <c r="H1" s="4"/>
    </row>
    <row r="2" spans="1:10" ht="24" customHeight="1">
      <c r="A2" s="2"/>
      <c r="B2" s="4" t="s">
        <v>45</v>
      </c>
      <c r="C2" s="4"/>
      <c r="D2" s="4"/>
      <c r="E2" s="4"/>
      <c r="F2" s="4"/>
      <c r="G2" s="4"/>
      <c r="H2" s="399" t="str">
        <f>ナビ!C4</f>
        <v>　</v>
      </c>
    </row>
    <row r="3" spans="1:10" ht="24" customHeight="1">
      <c r="A3" s="2"/>
      <c r="B3" s="4"/>
      <c r="C3" s="4"/>
      <c r="D3" s="4"/>
      <c r="E3" s="4"/>
      <c r="F3" s="4"/>
      <c r="G3" s="4"/>
      <c r="H3" s="4"/>
    </row>
    <row r="4" spans="1:10" ht="24" customHeight="1">
      <c r="A4" s="2"/>
      <c r="B4" s="502" t="s">
        <v>46</v>
      </c>
      <c r="C4" s="453"/>
      <c r="D4" s="453"/>
      <c r="E4" s="453"/>
      <c r="F4" s="453"/>
      <c r="G4" s="453"/>
      <c r="H4" s="453"/>
    </row>
    <row r="5" spans="1:10" ht="24" customHeight="1">
      <c r="A5" s="2"/>
      <c r="B5" s="4"/>
      <c r="C5" s="4"/>
      <c r="D5" s="4"/>
      <c r="E5" s="4"/>
      <c r="F5" s="4"/>
      <c r="G5" s="4"/>
      <c r="H5" s="4"/>
    </row>
    <row r="6" spans="1:10" ht="24" customHeight="1" thickBot="1">
      <c r="A6" s="2"/>
      <c r="B6" s="569" t="s">
        <v>47</v>
      </c>
      <c r="C6" s="569"/>
      <c r="D6" s="569"/>
      <c r="E6" s="569"/>
      <c r="F6" s="569"/>
      <c r="G6" s="569"/>
      <c r="H6" s="569"/>
    </row>
    <row r="7" spans="1:10" ht="30" customHeight="1">
      <c r="A7" s="2"/>
      <c r="B7" s="566" t="s">
        <v>48</v>
      </c>
      <c r="C7" s="567"/>
      <c r="D7" s="551" t="s">
        <v>49</v>
      </c>
      <c r="E7" s="570"/>
      <c r="F7" s="555" t="s">
        <v>50</v>
      </c>
      <c r="G7" s="555"/>
      <c r="H7" s="556"/>
      <c r="J7" s="149"/>
    </row>
    <row r="8" spans="1:10" ht="24" customHeight="1" thickBot="1">
      <c r="A8" s="2"/>
      <c r="B8" s="16">
        <f>G25</f>
        <v>1613897</v>
      </c>
      <c r="C8" s="6" t="s">
        <v>10</v>
      </c>
      <c r="D8" s="571">
        <f>標準係数B!K15</f>
        <v>0.35</v>
      </c>
      <c r="E8" s="572"/>
      <c r="F8" s="225">
        <f>ROUND(ナビ!D7/(1-(ナビ!D7+ナビ!D7*(標準係数B!K31+標準係数B!K32+標準係数B!K35))),4)</f>
        <v>0.29649999999999999</v>
      </c>
      <c r="G8" s="12">
        <f>ROUND(B8*D8*F8,0)</f>
        <v>167482</v>
      </c>
      <c r="H8" s="8" t="s">
        <v>10</v>
      </c>
    </row>
    <row r="9" spans="1:10" ht="24" customHeight="1">
      <c r="A9" s="2"/>
    </row>
    <row r="10" spans="1:10" ht="24" customHeight="1" thickBot="1">
      <c r="A10" s="2"/>
      <c r="B10" s="569" t="s">
        <v>51</v>
      </c>
      <c r="C10" s="569"/>
      <c r="D10" s="569"/>
      <c r="E10" s="569"/>
      <c r="F10" s="569"/>
      <c r="G10" s="569"/>
      <c r="H10" s="569"/>
    </row>
    <row r="11" spans="1:10" ht="24" customHeight="1">
      <c r="A11" s="2"/>
      <c r="B11" s="566" t="s">
        <v>52</v>
      </c>
      <c r="C11" s="567"/>
      <c r="D11" s="551" t="s">
        <v>53</v>
      </c>
      <c r="E11" s="551"/>
      <c r="F11" s="551"/>
      <c r="G11" s="568" t="s">
        <v>54</v>
      </c>
      <c r="H11" s="556"/>
    </row>
    <row r="12" spans="1:10" ht="24" customHeight="1" thickBot="1">
      <c r="A12" s="2"/>
      <c r="B12" s="16">
        <f>G8</f>
        <v>167482</v>
      </c>
      <c r="C12" s="6" t="s">
        <v>10</v>
      </c>
      <c r="D12" s="579">
        <f>標準係数B!K35</f>
        <v>0.10299999999999999</v>
      </c>
      <c r="E12" s="580"/>
      <c r="F12" s="581"/>
      <c r="G12" s="12">
        <f>ROUND(B12*D12,0)</f>
        <v>17251</v>
      </c>
      <c r="H12" s="8" t="s">
        <v>10</v>
      </c>
    </row>
    <row r="13" spans="1:10" ht="24" customHeight="1">
      <c r="A13" s="2"/>
    </row>
    <row r="14" spans="1:10" ht="24" customHeight="1" thickBot="1">
      <c r="A14" s="2"/>
      <c r="B14" s="582" t="s">
        <v>55</v>
      </c>
      <c r="C14" s="582"/>
      <c r="D14" s="582"/>
      <c r="E14" s="582"/>
      <c r="F14" s="582"/>
      <c r="G14" s="582"/>
      <c r="H14" s="582"/>
    </row>
    <row r="15" spans="1:10" ht="24" customHeight="1">
      <c r="A15" s="2"/>
      <c r="B15" s="566" t="s">
        <v>52</v>
      </c>
      <c r="C15" s="567"/>
      <c r="D15" s="570" t="s">
        <v>56</v>
      </c>
      <c r="E15" s="570"/>
      <c r="F15" s="570"/>
      <c r="G15" s="583" t="s">
        <v>57</v>
      </c>
      <c r="H15" s="553"/>
    </row>
    <row r="16" spans="1:10" ht="24" customHeight="1" thickBot="1">
      <c r="A16" s="2"/>
      <c r="B16" s="16">
        <f>G8</f>
        <v>167482</v>
      </c>
      <c r="C16" s="6" t="s">
        <v>10</v>
      </c>
      <c r="D16" s="520">
        <f>標準係数B!K31+標準係数B!K32</f>
        <v>6.9999999999999993E-2</v>
      </c>
      <c r="E16" s="521"/>
      <c r="F16" s="522"/>
      <c r="G16" s="12">
        <f>IF(B16=0,0,ROUND(B16*D16,0))</f>
        <v>11724</v>
      </c>
      <c r="H16" s="8" t="s">
        <v>10</v>
      </c>
    </row>
    <row r="17" spans="1:8" ht="24" customHeight="1" thickBot="1">
      <c r="A17" s="2"/>
      <c r="B17" s="18"/>
      <c r="C17" s="4"/>
      <c r="D17" s="4"/>
      <c r="E17" s="4"/>
      <c r="F17" s="4"/>
      <c r="G17" s="18"/>
      <c r="H17" s="4"/>
    </row>
    <row r="18" spans="1:8" ht="24" customHeight="1" thickBot="1">
      <c r="A18" s="2"/>
      <c r="B18" s="573" t="s">
        <v>58</v>
      </c>
      <c r="C18" s="574"/>
      <c r="D18" s="574"/>
      <c r="E18" s="574"/>
      <c r="F18" s="575"/>
      <c r="G18" s="20">
        <f>G8+G12+G16</f>
        <v>196457</v>
      </c>
      <c r="H18" s="21" t="s">
        <v>10</v>
      </c>
    </row>
    <row r="19" spans="1:8" ht="24" customHeight="1">
      <c r="A19" s="2"/>
    </row>
    <row r="20" spans="1:8" ht="24" customHeight="1">
      <c r="A20" s="2"/>
      <c r="B20" s="4" t="s">
        <v>59</v>
      </c>
      <c r="C20" s="4"/>
      <c r="D20" s="4"/>
      <c r="E20" s="4"/>
      <c r="F20" s="4"/>
      <c r="G20" s="4"/>
      <c r="H20" s="4"/>
    </row>
    <row r="21" spans="1:8" ht="24" customHeight="1">
      <c r="A21" s="2"/>
      <c r="B21" s="4"/>
      <c r="C21" s="4"/>
      <c r="D21" s="4"/>
      <c r="E21" s="4"/>
      <c r="F21" s="4"/>
      <c r="G21" s="4"/>
      <c r="H21" s="4"/>
    </row>
    <row r="22" spans="1:8" ht="24" customHeight="1">
      <c r="A22" s="2"/>
      <c r="B22" s="502" t="s">
        <v>60</v>
      </c>
      <c r="C22" s="502"/>
      <c r="D22" s="502"/>
      <c r="E22" s="502"/>
      <c r="F22" s="502"/>
      <c r="G22" s="502"/>
      <c r="H22" s="502"/>
    </row>
    <row r="23" spans="1:8" ht="24" customHeight="1" thickBot="1">
      <c r="A23" s="2"/>
      <c r="B23" s="4"/>
      <c r="C23" s="4"/>
      <c r="D23" s="4"/>
      <c r="E23" s="4"/>
      <c r="F23" s="4"/>
      <c r="G23" s="4"/>
      <c r="H23" s="4"/>
    </row>
    <row r="24" spans="1:8" ht="24" customHeight="1">
      <c r="A24" s="2"/>
      <c r="B24" s="576" t="s">
        <v>61</v>
      </c>
      <c r="C24" s="577"/>
      <c r="D24" s="577"/>
      <c r="E24" s="577"/>
      <c r="F24" s="577"/>
      <c r="G24" s="577"/>
      <c r="H24" s="578"/>
    </row>
    <row r="25" spans="1:8" ht="24" customHeight="1" thickBot="1">
      <c r="A25" s="2"/>
      <c r="B25" s="16">
        <f>'1_a'!I37</f>
        <v>59334450</v>
      </c>
      <c r="C25" s="6" t="s">
        <v>10</v>
      </c>
      <c r="D25" s="520">
        <f>標準係数B!K8</f>
        <v>2.7199999999999998E-2</v>
      </c>
      <c r="E25" s="521"/>
      <c r="F25" s="522"/>
      <c r="G25" s="12">
        <f>ROUND(B25*D25,0)</f>
        <v>1613897</v>
      </c>
      <c r="H25" s="8" t="s">
        <v>10</v>
      </c>
    </row>
    <row r="26" spans="1:8" ht="24" customHeight="1">
      <c r="A26" s="2"/>
    </row>
    <row r="27" spans="1:8" ht="24" customHeight="1">
      <c r="A27" s="2"/>
    </row>
    <row r="28" spans="1:8" ht="24" customHeight="1">
      <c r="A28" s="2"/>
    </row>
  </sheetData>
  <mergeCells count="20">
    <mergeCell ref="B18:F18"/>
    <mergeCell ref="B22:H22"/>
    <mergeCell ref="B24:H24"/>
    <mergeCell ref="D25:F25"/>
    <mergeCell ref="D12:F12"/>
    <mergeCell ref="B14:H14"/>
    <mergeCell ref="B15:C15"/>
    <mergeCell ref="D15:F15"/>
    <mergeCell ref="G15:H15"/>
    <mergeCell ref="D16:F16"/>
    <mergeCell ref="B11:C11"/>
    <mergeCell ref="D11:F11"/>
    <mergeCell ref="G11:H11"/>
    <mergeCell ref="B4:H4"/>
    <mergeCell ref="B6:H6"/>
    <mergeCell ref="B7:C7"/>
    <mergeCell ref="D7:E7"/>
    <mergeCell ref="F7:H7"/>
    <mergeCell ref="D8:E8"/>
    <mergeCell ref="B10:H10"/>
  </mergeCells>
  <phoneticPr fontId="2"/>
  <pageMargins left="0.70866141732283472" right="0.70866141732283472" top="0.74803149606299213" bottom="0.74803149606299213" header="0.31496062992125984" footer="0.31496062992125984"/>
  <pageSetup paperSize="9" scale="85" orientation="portrait" horizontalDpi="0" verticalDpi="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1993B-7D2C-BC41-8EB8-4846174565A3}">
  <sheetPr codeName="Sheet6">
    <tabColor theme="4" tint="0.79998168889431442"/>
    <pageSetUpPr fitToPage="1"/>
  </sheetPr>
  <dimension ref="B1:Q25"/>
  <sheetViews>
    <sheetView showGridLines="0" showRowColHeaders="0" zoomScale="120" zoomScaleNormal="120" workbookViewId="0"/>
  </sheetViews>
  <sheetFormatPr baseColWidth="10" defaultColWidth="11.140625" defaultRowHeight="18"/>
  <cols>
    <col min="1" max="1" width="5" customWidth="1"/>
    <col min="2" max="2" width="3.85546875" style="33" customWidth="1"/>
    <col min="3" max="3" width="10" style="33" customWidth="1"/>
    <col min="4" max="4" width="22" style="33" customWidth="1"/>
    <col min="5" max="5" width="22.85546875" style="33" customWidth="1"/>
    <col min="6" max="6" width="5.7109375" style="33" customWidth="1"/>
    <col min="7" max="7" width="8.28515625" style="33" customWidth="1"/>
    <col min="8" max="8" width="4" style="33" customWidth="1"/>
    <col min="9" max="9" width="5" customWidth="1"/>
  </cols>
  <sheetData>
    <row r="1" spans="2:17" ht="25" customHeight="1"/>
    <row r="2" spans="2:17" ht="36" customHeight="1">
      <c r="B2" s="33" t="s">
        <v>62</v>
      </c>
      <c r="H2" s="401" t="str">
        <f>ナビ!C4</f>
        <v>　</v>
      </c>
    </row>
    <row r="3" spans="2:17" ht="36" customHeight="1">
      <c r="B3" s="33" t="s">
        <v>63</v>
      </c>
    </row>
    <row r="4" spans="2:17" ht="36" customHeight="1"/>
    <row r="5" spans="2:17" ht="36" customHeight="1">
      <c r="B5" s="587" t="s">
        <v>64</v>
      </c>
      <c r="C5" s="453"/>
      <c r="D5" s="453"/>
      <c r="E5" s="453"/>
      <c r="F5" s="453"/>
      <c r="G5" s="453"/>
      <c r="H5" s="453"/>
    </row>
    <row r="6" spans="2:17" ht="36" customHeight="1">
      <c r="B6" s="34"/>
      <c r="C6" s="34"/>
      <c r="D6" s="34"/>
      <c r="E6" s="34"/>
      <c r="F6" s="34"/>
      <c r="G6" s="34"/>
      <c r="H6" s="34"/>
    </row>
    <row r="7" spans="2:17" ht="36" customHeight="1" thickBot="1">
      <c r="B7" s="34"/>
      <c r="C7" s="34"/>
      <c r="D7" s="34"/>
      <c r="E7" s="35"/>
      <c r="F7" s="34"/>
      <c r="G7" s="34"/>
      <c r="H7" s="34"/>
    </row>
    <row r="8" spans="2:17" ht="36" customHeight="1">
      <c r="B8" s="588" t="s">
        <v>749</v>
      </c>
      <c r="C8" s="589"/>
      <c r="D8" s="590"/>
      <c r="E8" s="36" t="s">
        <v>747</v>
      </c>
      <c r="F8" s="591" t="s">
        <v>748</v>
      </c>
      <c r="G8" s="589"/>
      <c r="H8" s="592"/>
    </row>
    <row r="9" spans="2:17" ht="36" customHeight="1">
      <c r="B9" s="37"/>
      <c r="C9" s="593" t="s">
        <v>743</v>
      </c>
      <c r="D9" s="594"/>
      <c r="E9" s="38">
        <f>'1_b'!G10</f>
        <v>11501052</v>
      </c>
      <c r="F9" s="38"/>
      <c r="G9" s="39">
        <f t="shared" ref="G9:G21" si="0">E9/E$22*100</f>
        <v>36.071361319054809</v>
      </c>
      <c r="H9" s="40"/>
      <c r="P9" s="97" t="s">
        <v>475</v>
      </c>
      <c r="Q9" s="198">
        <f>G9/100</f>
        <v>0.36071361319054807</v>
      </c>
    </row>
    <row r="10" spans="2:17" ht="36" customHeight="1">
      <c r="B10" s="41"/>
      <c r="C10" s="593" t="s">
        <v>742</v>
      </c>
      <c r="D10" s="594"/>
      <c r="E10" s="38">
        <f>'1_b'!G17</f>
        <v>8579625</v>
      </c>
      <c r="F10" s="38"/>
      <c r="G10" s="39">
        <f t="shared" si="0"/>
        <v>26.908734379863308</v>
      </c>
      <c r="H10" s="40"/>
      <c r="P10" s="97" t="s">
        <v>476</v>
      </c>
      <c r="Q10" s="198">
        <f>G10/100</f>
        <v>0.26908734379863308</v>
      </c>
    </row>
    <row r="11" spans="2:17" ht="36" customHeight="1">
      <c r="B11" s="595" t="s">
        <v>750</v>
      </c>
      <c r="C11" s="593" t="s">
        <v>741</v>
      </c>
      <c r="D11" s="594"/>
      <c r="E11" s="38">
        <f>'1_b'!G26</f>
        <v>1571432</v>
      </c>
      <c r="F11" s="38"/>
      <c r="G11" s="39">
        <f t="shared" si="0"/>
        <v>4.9285657920966663</v>
      </c>
      <c r="H11" s="40"/>
      <c r="P11" s="97" t="s">
        <v>368</v>
      </c>
      <c r="Q11" s="198">
        <f>G11/100</f>
        <v>4.9285657920966661E-2</v>
      </c>
    </row>
    <row r="12" spans="2:17" ht="36" customHeight="1">
      <c r="B12" s="595"/>
      <c r="C12" s="596" t="s">
        <v>66</v>
      </c>
      <c r="D12" s="42" t="s">
        <v>67</v>
      </c>
      <c r="E12" s="38">
        <f>'1_b'!G42</f>
        <v>261400</v>
      </c>
      <c r="F12" s="38"/>
      <c r="G12" s="39">
        <f t="shared" si="0"/>
        <v>0.81984272819572745</v>
      </c>
      <c r="H12" s="40"/>
      <c r="P12" s="97" t="s">
        <v>479</v>
      </c>
      <c r="Q12" s="198">
        <f>SUM(G12:G14)/100</f>
        <v>1.9051150282629332E-2</v>
      </c>
    </row>
    <row r="13" spans="2:17" ht="36" customHeight="1">
      <c r="B13" s="595"/>
      <c r="C13" s="597"/>
      <c r="D13" s="42" t="s">
        <v>740</v>
      </c>
      <c r="E13" s="38">
        <f>'1_b'!G46</f>
        <v>5130</v>
      </c>
      <c r="F13" s="38"/>
      <c r="G13" s="39">
        <f t="shared" si="0"/>
        <v>1.6089491949671318E-2</v>
      </c>
      <c r="H13" s="40"/>
      <c r="P13" s="97" t="s">
        <v>370</v>
      </c>
      <c r="Q13" s="198">
        <f>G15/100</f>
        <v>0.12207530358958135</v>
      </c>
    </row>
    <row r="14" spans="2:17" ht="36" customHeight="1">
      <c r="B14" s="595"/>
      <c r="C14" s="598"/>
      <c r="D14" s="42" t="s">
        <v>68</v>
      </c>
      <c r="E14" s="38">
        <f>'1_b'!G50</f>
        <v>340900</v>
      </c>
      <c r="F14" s="38"/>
      <c r="G14" s="39">
        <f t="shared" si="0"/>
        <v>1.0691828081175345</v>
      </c>
      <c r="H14" s="40"/>
      <c r="P14" s="97" t="s">
        <v>481</v>
      </c>
      <c r="Q14" s="198">
        <f>G16/100</f>
        <v>0.12300783548848888</v>
      </c>
    </row>
    <row r="15" spans="2:17" ht="36" customHeight="1">
      <c r="B15" s="595"/>
      <c r="C15" s="593" t="s">
        <v>738</v>
      </c>
      <c r="D15" s="594"/>
      <c r="E15" s="38">
        <f>'1_b'!G59</f>
        <v>3892269</v>
      </c>
      <c r="F15" s="38"/>
      <c r="G15" s="39">
        <f t="shared" si="0"/>
        <v>12.207530358958135</v>
      </c>
      <c r="H15" s="40"/>
      <c r="P15" s="97" t="s">
        <v>483</v>
      </c>
      <c r="Q15" s="198">
        <f>G18/100</f>
        <v>5.0617510310133895E-2</v>
      </c>
    </row>
    <row r="16" spans="2:17" ht="36" customHeight="1">
      <c r="B16" s="595"/>
      <c r="C16" s="593" t="s">
        <v>737</v>
      </c>
      <c r="D16" s="594"/>
      <c r="E16" s="38">
        <f>'1_b'!G63</f>
        <v>3922002</v>
      </c>
      <c r="F16" s="38"/>
      <c r="G16" s="39">
        <f t="shared" si="0"/>
        <v>12.300783548848889</v>
      </c>
      <c r="H16" s="40"/>
      <c r="P16" s="97" t="s">
        <v>484</v>
      </c>
      <c r="Q16" s="198">
        <f>SUM(G19:G21)/100</f>
        <v>6.1615854190186694E-3</v>
      </c>
    </row>
    <row r="17" spans="2:8" ht="36" customHeight="1">
      <c r="B17" s="595"/>
      <c r="C17" s="593" t="s">
        <v>739</v>
      </c>
      <c r="D17" s="594"/>
      <c r="E17" s="38">
        <f>SUM(E9:E16)</f>
        <v>30073810</v>
      </c>
      <c r="F17" s="38"/>
      <c r="G17" s="39">
        <f t="shared" si="0"/>
        <v>94.322090427084746</v>
      </c>
      <c r="H17" s="40"/>
    </row>
    <row r="18" spans="2:8" ht="36" customHeight="1">
      <c r="B18" s="595"/>
      <c r="C18" s="593" t="s">
        <v>744</v>
      </c>
      <c r="D18" s="594"/>
      <c r="E18" s="38">
        <f>'1_c'!G25</f>
        <v>1613897</v>
      </c>
      <c r="F18" s="38"/>
      <c r="G18" s="39">
        <f t="shared" si="0"/>
        <v>5.0617510310133893</v>
      </c>
      <c r="H18" s="40"/>
    </row>
    <row r="19" spans="2:8" ht="36" customHeight="1">
      <c r="B19" s="41"/>
      <c r="C19" s="596" t="s">
        <v>69</v>
      </c>
      <c r="D19" s="42" t="s">
        <v>752</v>
      </c>
      <c r="E19" s="38">
        <f>'1_c'!G8</f>
        <v>167482</v>
      </c>
      <c r="F19" s="38"/>
      <c r="G19" s="39">
        <f>E19/E$22*100</f>
        <v>0.52528270774168639</v>
      </c>
      <c r="H19" s="40"/>
    </row>
    <row r="20" spans="2:8" ht="36" customHeight="1">
      <c r="B20" s="41"/>
      <c r="C20" s="599"/>
      <c r="D20" s="42" t="s">
        <v>70</v>
      </c>
      <c r="E20" s="38">
        <f>'1_c'!G12</f>
        <v>17251</v>
      </c>
      <c r="F20" s="38"/>
      <c r="G20" s="39">
        <f>E20/E$22*100</f>
        <v>5.4105229166428827E-2</v>
      </c>
      <c r="H20" s="40"/>
    </row>
    <row r="21" spans="2:8" ht="36" customHeight="1">
      <c r="B21" s="43"/>
      <c r="C21" s="598"/>
      <c r="D21" s="44" t="s">
        <v>753</v>
      </c>
      <c r="E21" s="38">
        <f>'1_c'!G16</f>
        <v>11724</v>
      </c>
      <c r="F21" s="38"/>
      <c r="G21" s="39">
        <f t="shared" si="0"/>
        <v>3.677060499375176E-2</v>
      </c>
      <c r="H21" s="40"/>
    </row>
    <row r="22" spans="2:8" ht="36" customHeight="1" thickBot="1">
      <c r="B22" s="584" t="s">
        <v>754</v>
      </c>
      <c r="C22" s="585"/>
      <c r="D22" s="586"/>
      <c r="E22" s="45">
        <f>SUM(E17:E21)</f>
        <v>31884164</v>
      </c>
      <c r="F22" s="45"/>
      <c r="G22" s="46">
        <f>E22/E$22*100</f>
        <v>100</v>
      </c>
      <c r="H22" s="47"/>
    </row>
    <row r="23" spans="2:8" ht="36" customHeight="1" thickBot="1">
      <c r="B23" s="48"/>
      <c r="C23" s="48"/>
      <c r="D23" s="48"/>
      <c r="E23" s="49"/>
      <c r="F23" s="49"/>
      <c r="G23" s="49"/>
      <c r="H23" s="48"/>
    </row>
    <row r="24" spans="2:8" ht="36" customHeight="1">
      <c r="B24" s="588" t="s">
        <v>745</v>
      </c>
      <c r="C24" s="589"/>
      <c r="D24" s="590"/>
      <c r="E24" s="50">
        <f>'1_a'!H7</f>
        <v>51621.886618181823</v>
      </c>
      <c r="F24" s="51" t="s">
        <v>71</v>
      </c>
      <c r="G24" s="52"/>
      <c r="H24" s="53"/>
    </row>
    <row r="25" spans="2:8" ht="36" customHeight="1" thickBot="1">
      <c r="B25" s="584" t="s">
        <v>746</v>
      </c>
      <c r="C25" s="585"/>
      <c r="D25" s="586"/>
      <c r="E25" s="54">
        <f>ROUND(E22/E24,2)</f>
        <v>617.65</v>
      </c>
      <c r="F25" s="55" t="s">
        <v>27</v>
      </c>
      <c r="G25" s="56"/>
      <c r="H25" s="57"/>
    </row>
  </sheetData>
  <mergeCells count="16">
    <mergeCell ref="B25:D25"/>
    <mergeCell ref="B5:H5"/>
    <mergeCell ref="B8:D8"/>
    <mergeCell ref="F8:H8"/>
    <mergeCell ref="C9:D9"/>
    <mergeCell ref="C10:D10"/>
    <mergeCell ref="B11:B18"/>
    <mergeCell ref="C11:D11"/>
    <mergeCell ref="C12:C14"/>
    <mergeCell ref="C15:D15"/>
    <mergeCell ref="C16:D16"/>
    <mergeCell ref="C17:D17"/>
    <mergeCell ref="C18:D18"/>
    <mergeCell ref="C19:C21"/>
    <mergeCell ref="B22:D22"/>
    <mergeCell ref="B24:D24"/>
  </mergeCells>
  <phoneticPr fontId="2"/>
  <pageMargins left="0.70866141732283472" right="0.70866141732283472" top="0.74803149606299213" bottom="0.74803149606299213" header="0.31496062992125984" footer="0.31496062992125984"/>
  <pageSetup paperSize="9" scale="40" orientation="portrait" horizontalDpi="0" verticalDpi="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25349-89A7-9F42-8BB7-A5E39ECCF171}">
  <sheetPr codeName="Sheet7">
    <tabColor theme="4" tint="0.79998168889431442"/>
    <pageSetUpPr fitToPage="1"/>
  </sheetPr>
  <dimension ref="B1:R29"/>
  <sheetViews>
    <sheetView showGridLines="0" showRowColHeaders="0" topLeftCell="A5" zoomScale="120" zoomScaleNormal="120" workbookViewId="0"/>
  </sheetViews>
  <sheetFormatPr baseColWidth="10" defaultColWidth="10.7109375" defaultRowHeight="28"/>
  <cols>
    <col min="1" max="1" width="5" style="97" customWidth="1"/>
    <col min="2" max="2" width="17.140625" style="59" customWidth="1"/>
    <col min="3" max="7" width="12.5703125" style="59" customWidth="1"/>
    <col min="8" max="8" width="5" style="59" customWidth="1"/>
    <col min="9" max="16" width="10.7109375" style="97"/>
    <col min="17" max="17" width="10.7109375" style="228"/>
    <col min="18" max="18" width="11.140625" style="228" bestFit="1" customWidth="1"/>
    <col min="19" max="16384" width="10.7109375" style="97"/>
  </cols>
  <sheetData>
    <row r="1" spans="2:18" ht="25" customHeight="1"/>
    <row r="2" spans="2:18" ht="27" customHeight="1">
      <c r="B2" s="171" t="s">
        <v>83</v>
      </c>
      <c r="C2" s="171"/>
      <c r="D2" s="171"/>
      <c r="E2" s="171"/>
      <c r="F2" s="171"/>
      <c r="G2" s="402" t="str">
        <f>ナビ!C4</f>
        <v>　</v>
      </c>
      <c r="H2" s="171"/>
    </row>
    <row r="3" spans="2:18" ht="27" customHeight="1">
      <c r="B3" s="603" t="s">
        <v>84</v>
      </c>
      <c r="C3" s="604"/>
      <c r="D3" s="604"/>
      <c r="E3" s="604"/>
      <c r="F3" s="604"/>
      <c r="G3" s="604"/>
      <c r="H3" s="32"/>
    </row>
    <row r="4" spans="2:18" ht="27" customHeight="1" thickBot="1">
      <c r="B4" s="58"/>
      <c r="C4" s="58"/>
      <c r="D4" s="58"/>
      <c r="E4" s="58"/>
      <c r="F4" s="58"/>
      <c r="G4" s="172" t="s">
        <v>85</v>
      </c>
      <c r="H4" s="172"/>
    </row>
    <row r="5" spans="2:18" ht="27" customHeight="1">
      <c r="B5" s="605" t="s">
        <v>86</v>
      </c>
      <c r="C5" s="607" t="s">
        <v>87</v>
      </c>
      <c r="D5" s="608"/>
      <c r="E5" s="609" t="s">
        <v>88</v>
      </c>
      <c r="F5" s="610"/>
      <c r="G5" s="611" t="s">
        <v>89</v>
      </c>
      <c r="H5" s="189"/>
    </row>
    <row r="6" spans="2:18" ht="27" customHeight="1" thickBot="1">
      <c r="B6" s="606"/>
      <c r="C6" s="174" t="s">
        <v>73</v>
      </c>
      <c r="D6" s="175" t="s">
        <v>74</v>
      </c>
      <c r="E6" s="176" t="s">
        <v>73</v>
      </c>
      <c r="F6" s="177" t="s">
        <v>74</v>
      </c>
      <c r="G6" s="612"/>
      <c r="H6" s="189"/>
    </row>
    <row r="7" spans="2:18" ht="27" customHeight="1">
      <c r="B7" s="173" t="s">
        <v>65</v>
      </c>
      <c r="C7" s="204"/>
      <c r="D7" s="205">
        <f>'別表4,5'!F31</f>
        <v>11501052</v>
      </c>
      <c r="E7" s="205"/>
      <c r="F7" s="205"/>
      <c r="G7" s="206"/>
      <c r="H7" s="200"/>
      <c r="Q7" s="395" t="s">
        <v>631</v>
      </c>
      <c r="R7" s="229">
        <f>C17</f>
        <v>2281788</v>
      </c>
    </row>
    <row r="8" spans="2:18" ht="27" customHeight="1">
      <c r="B8" s="178" t="s">
        <v>76</v>
      </c>
      <c r="C8" s="179"/>
      <c r="D8" s="180"/>
      <c r="E8" s="180">
        <f>'別表4,5'!H32</f>
        <v>3482470</v>
      </c>
      <c r="F8" s="180"/>
      <c r="G8" s="181">
        <f>'別表4,5'!K32</f>
        <v>5097155</v>
      </c>
      <c r="H8" s="200"/>
      <c r="Q8" s="395" t="s">
        <v>632</v>
      </c>
      <c r="R8" s="229">
        <f>D17</f>
        <v>12781377</v>
      </c>
    </row>
    <row r="9" spans="2:18" ht="27" customHeight="1">
      <c r="B9" s="178" t="s">
        <v>77</v>
      </c>
      <c r="C9" s="179">
        <f>'別表4,5'!E33</f>
        <v>306142</v>
      </c>
      <c r="D9" s="180"/>
      <c r="E9" s="180">
        <f>'別表4,5'!H33</f>
        <v>921097</v>
      </c>
      <c r="F9" s="180"/>
      <c r="G9" s="181">
        <f>'別表4,5'!K33</f>
        <v>344193</v>
      </c>
      <c r="H9" s="200"/>
      <c r="Q9" s="395" t="s">
        <v>633</v>
      </c>
      <c r="R9" s="229">
        <f>E17</f>
        <v>8647304</v>
      </c>
    </row>
    <row r="10" spans="2:18" ht="27" customHeight="1">
      <c r="B10" s="178" t="s">
        <v>78</v>
      </c>
      <c r="C10" s="179">
        <f>'別表4,5'!E34</f>
        <v>75591</v>
      </c>
      <c r="D10" s="180"/>
      <c r="E10" s="180">
        <f>'別表4,5'!H34</f>
        <v>135264</v>
      </c>
      <c r="F10" s="180"/>
      <c r="G10" s="181">
        <f>'別表4,5'!K34</f>
        <v>50545</v>
      </c>
      <c r="H10" s="200"/>
      <c r="Q10" s="395" t="s">
        <v>634</v>
      </c>
      <c r="R10" s="229">
        <f>F17</f>
        <v>526327</v>
      </c>
    </row>
    <row r="11" spans="2:18" ht="27" customHeight="1">
      <c r="B11" s="178" t="s">
        <v>68</v>
      </c>
      <c r="C11" s="179"/>
      <c r="D11" s="180"/>
      <c r="E11" s="180">
        <f>'別表4,5'!H35</f>
        <v>340900</v>
      </c>
      <c r="F11" s="180"/>
      <c r="G11" s="181"/>
      <c r="H11" s="200"/>
      <c r="Q11" s="395" t="s">
        <v>605</v>
      </c>
      <c r="R11" s="229">
        <f>G17</f>
        <v>7647368</v>
      </c>
    </row>
    <row r="12" spans="2:18" ht="27" customHeight="1">
      <c r="B12" s="178" t="s">
        <v>90</v>
      </c>
      <c r="C12" s="179">
        <f>'別表4,5'!E38</f>
        <v>758282</v>
      </c>
      <c r="D12" s="180"/>
      <c r="E12" s="180">
        <f>'別表4,5'!H38</f>
        <v>2281460</v>
      </c>
      <c r="F12" s="180"/>
      <c r="G12" s="181">
        <f>'別表4,5'!K38</f>
        <v>852527</v>
      </c>
      <c r="H12" s="200"/>
      <c r="Q12" s="395"/>
    </row>
    <row r="13" spans="2:18" ht="27" customHeight="1">
      <c r="B13" s="178" t="s">
        <v>79</v>
      </c>
      <c r="C13" s="179">
        <f>'別表4,5'!E40</f>
        <v>1062103</v>
      </c>
      <c r="D13" s="180">
        <f>'別表4,5'!F40</f>
        <v>834058</v>
      </c>
      <c r="E13" s="180">
        <f>'別表4,5'!H40</f>
        <v>601683</v>
      </c>
      <c r="F13" s="180">
        <f>'別表4,5'!I40</f>
        <v>472495</v>
      </c>
      <c r="G13" s="181">
        <f>'別表4,5'!K40</f>
        <v>951663</v>
      </c>
      <c r="H13" s="200"/>
      <c r="Q13" s="395"/>
    </row>
    <row r="14" spans="2:18" ht="27" customHeight="1">
      <c r="B14" s="178" t="s">
        <v>91</v>
      </c>
      <c r="C14" s="179">
        <f>'別表4,5'!E42</f>
        <v>70697</v>
      </c>
      <c r="D14" s="180">
        <f>'別表4,5'!F42</f>
        <v>396006</v>
      </c>
      <c r="E14" s="180">
        <f>'別表4,5'!H42</f>
        <v>787213</v>
      </c>
      <c r="F14" s="180">
        <f>'別表4,5'!I42</f>
        <v>47914</v>
      </c>
      <c r="G14" s="181">
        <f>'別表4,5'!K42</f>
        <v>312067</v>
      </c>
      <c r="H14" s="200"/>
      <c r="Q14" s="395"/>
    </row>
    <row r="15" spans="2:18" ht="45" customHeight="1">
      <c r="B15" s="406" t="s">
        <v>755</v>
      </c>
      <c r="C15" s="179">
        <f>'別表4,5'!E43</f>
        <v>8606</v>
      </c>
      <c r="D15" s="180">
        <f>'別表4,5'!F43</f>
        <v>48205</v>
      </c>
      <c r="E15" s="180">
        <f>'別表4,5'!H43</f>
        <v>95826</v>
      </c>
      <c r="F15" s="180">
        <f>'別表4,5'!I43</f>
        <v>5833</v>
      </c>
      <c r="G15" s="181">
        <f>'別表4,5'!K43</f>
        <v>37987</v>
      </c>
      <c r="H15" s="200"/>
      <c r="Q15" s="395"/>
    </row>
    <row r="16" spans="2:18" ht="27" customHeight="1">
      <c r="B16" s="178" t="s">
        <v>92</v>
      </c>
      <c r="C16" s="179">
        <f>'別表4,5'!E45</f>
        <v>367</v>
      </c>
      <c r="D16" s="180">
        <f>'別表4,5'!F45</f>
        <v>2056</v>
      </c>
      <c r="E16" s="180">
        <f>'別表4,5'!H45</f>
        <v>1391</v>
      </c>
      <c r="F16" s="180">
        <f>'別表4,5'!I45</f>
        <v>85</v>
      </c>
      <c r="G16" s="181">
        <f>'別表4,5'!K45</f>
        <v>1231</v>
      </c>
      <c r="H16" s="200"/>
      <c r="Q16" s="395"/>
    </row>
    <row r="17" spans="2:18" ht="27" customHeight="1" thickBot="1">
      <c r="B17" s="182" t="s">
        <v>93</v>
      </c>
      <c r="C17" s="183">
        <f>SUM(C7:C16)</f>
        <v>2281788</v>
      </c>
      <c r="D17" s="184">
        <f>SUM(D7:D16)</f>
        <v>12781377</v>
      </c>
      <c r="E17" s="184">
        <f>SUM(E7:E16)</f>
        <v>8647304</v>
      </c>
      <c r="F17" s="184">
        <f>SUM(F7:F16)</f>
        <v>526327</v>
      </c>
      <c r="G17" s="185">
        <f>SUM(G7:G16)</f>
        <v>7647368</v>
      </c>
      <c r="H17" s="200"/>
      <c r="Q17" s="395"/>
    </row>
    <row r="18" spans="2:18" ht="27" customHeight="1">
      <c r="B18" s="171"/>
      <c r="C18" s="171"/>
      <c r="D18" s="200"/>
      <c r="E18" s="171"/>
      <c r="F18" s="171"/>
      <c r="G18" s="171"/>
      <c r="H18" s="171"/>
      <c r="Q18" s="395"/>
    </row>
    <row r="19" spans="2:18" ht="27" customHeight="1">
      <c r="B19" s="171" t="s">
        <v>94</v>
      </c>
      <c r="C19" s="171"/>
      <c r="D19" s="171"/>
      <c r="E19" s="200"/>
      <c r="F19" s="171"/>
      <c r="G19" s="171"/>
      <c r="H19" s="171"/>
      <c r="Q19" s="395"/>
    </row>
    <row r="20" spans="2:18" ht="27" customHeight="1">
      <c r="B20" s="603" t="s">
        <v>95</v>
      </c>
      <c r="C20" s="453"/>
      <c r="D20" s="453"/>
      <c r="E20" s="453"/>
      <c r="F20" s="453"/>
      <c r="G20" s="453"/>
      <c r="H20" s="3"/>
      <c r="Q20" s="395"/>
    </row>
    <row r="21" spans="2:18" ht="27" customHeight="1" thickBot="1">
      <c r="B21" s="171"/>
      <c r="C21" s="171"/>
      <c r="D21" s="171"/>
      <c r="E21" s="171"/>
      <c r="F21" s="171"/>
      <c r="G21" s="171"/>
      <c r="H21" s="171"/>
      <c r="Q21" s="395"/>
    </row>
    <row r="22" spans="2:18" ht="27" customHeight="1" thickBot="1">
      <c r="B22" s="613" t="s">
        <v>96</v>
      </c>
      <c r="C22" s="614"/>
      <c r="D22" s="615" t="s">
        <v>97</v>
      </c>
      <c r="E22" s="616"/>
      <c r="F22" s="615" t="s">
        <v>98</v>
      </c>
      <c r="G22" s="617"/>
      <c r="H22" s="239"/>
      <c r="Q22" s="395" t="s">
        <v>338</v>
      </c>
      <c r="R22" s="230">
        <f ca="1">B29</f>
        <v>30715365</v>
      </c>
    </row>
    <row r="23" spans="2:18" ht="27" customHeight="1">
      <c r="B23" s="618" t="s">
        <v>99</v>
      </c>
      <c r="C23" s="619"/>
      <c r="D23" s="620" t="s">
        <v>100</v>
      </c>
      <c r="E23" s="619"/>
      <c r="F23" s="201">
        <f>'別表4,5'!G52</f>
        <v>257.79000000000002</v>
      </c>
      <c r="G23" s="186" t="s">
        <v>101</v>
      </c>
      <c r="H23" s="171"/>
      <c r="Q23" s="395" t="s">
        <v>635</v>
      </c>
      <c r="R23" s="229">
        <f ca="1">D29</f>
        <v>0</v>
      </c>
    </row>
    <row r="24" spans="2:18" ht="27" customHeight="1">
      <c r="B24" s="600" t="s">
        <v>102</v>
      </c>
      <c r="C24" s="601"/>
      <c r="D24" s="602" t="s">
        <v>103</v>
      </c>
      <c r="E24" s="601"/>
      <c r="F24" s="202">
        <f ca="1">'別表4,5'!G53</f>
        <v>341.13</v>
      </c>
      <c r="G24" s="187" t="s">
        <v>101</v>
      </c>
      <c r="H24" s="171"/>
      <c r="Q24" s="395" t="s">
        <v>340</v>
      </c>
      <c r="R24" s="229">
        <f ca="1">F29</f>
        <v>1168799</v>
      </c>
    </row>
    <row r="25" spans="2:18" ht="27" customHeight="1">
      <c r="B25" s="600" t="s">
        <v>104</v>
      </c>
      <c r="C25" s="601"/>
      <c r="D25" s="602" t="s">
        <v>105</v>
      </c>
      <c r="E25" s="601"/>
      <c r="F25" s="202">
        <f>'別表4,5'!G54</f>
        <v>591.87</v>
      </c>
      <c r="G25" s="187" t="s">
        <v>101</v>
      </c>
      <c r="H25" s="171"/>
    </row>
    <row r="26" spans="2:18" ht="27" customHeight="1" thickBot="1">
      <c r="B26" s="628" t="s">
        <v>106</v>
      </c>
      <c r="C26" s="629"/>
      <c r="D26" s="630" t="s">
        <v>107</v>
      </c>
      <c r="E26" s="629"/>
      <c r="F26" s="203">
        <f>'別表4,5'!G55</f>
        <v>1308.58</v>
      </c>
      <c r="G26" s="188" t="s">
        <v>108</v>
      </c>
      <c r="H26" s="171"/>
    </row>
    <row r="27" spans="2:18" ht="27" customHeight="1" thickBot="1">
      <c r="B27" s="189"/>
      <c r="C27" s="189"/>
      <c r="D27" s="189"/>
      <c r="E27" s="189"/>
      <c r="F27" s="190"/>
      <c r="G27" s="191"/>
      <c r="H27" s="191"/>
    </row>
    <row r="28" spans="2:18" ht="27" customHeight="1">
      <c r="B28" s="607" t="s">
        <v>109</v>
      </c>
      <c r="C28" s="631"/>
      <c r="D28" s="632" t="s">
        <v>110</v>
      </c>
      <c r="E28" s="633"/>
      <c r="F28" s="621" t="s">
        <v>111</v>
      </c>
      <c r="G28" s="622"/>
      <c r="H28" s="240"/>
    </row>
    <row r="29" spans="2:18" ht="27" customHeight="1" thickBot="1">
      <c r="B29" s="623">
        <f ca="1">'別表4,5'!I56</f>
        <v>30715365</v>
      </c>
      <c r="C29" s="624"/>
      <c r="D29" s="625">
        <f ca="1">'別表4,5'!K56</f>
        <v>0</v>
      </c>
      <c r="E29" s="626"/>
      <c r="F29" s="625">
        <f ca="1">'別表4,5'!M56</f>
        <v>1168799</v>
      </c>
      <c r="G29" s="627"/>
      <c r="H29" s="241"/>
    </row>
  </sheetData>
  <mergeCells count="23">
    <mergeCell ref="F28:G28"/>
    <mergeCell ref="B29:C29"/>
    <mergeCell ref="D29:E29"/>
    <mergeCell ref="F29:G29"/>
    <mergeCell ref="B25:C25"/>
    <mergeCell ref="D25:E25"/>
    <mergeCell ref="B26:C26"/>
    <mergeCell ref="D26:E26"/>
    <mergeCell ref="B28:C28"/>
    <mergeCell ref="D28:E28"/>
    <mergeCell ref="B24:C24"/>
    <mergeCell ref="D24:E24"/>
    <mergeCell ref="B3:G3"/>
    <mergeCell ref="B5:B6"/>
    <mergeCell ref="C5:D5"/>
    <mergeCell ref="E5:F5"/>
    <mergeCell ref="G5:G6"/>
    <mergeCell ref="B20:G20"/>
    <mergeCell ref="B22:C22"/>
    <mergeCell ref="D22:E22"/>
    <mergeCell ref="F22:G22"/>
    <mergeCell ref="B23:C23"/>
    <mergeCell ref="D23:E23"/>
  </mergeCells>
  <phoneticPr fontId="2"/>
  <pageMargins left="0.70866141732283472" right="0.70866141732283472" top="0.74803149606299213" bottom="0.74803149606299213" header="0.31496062992125984" footer="0.31496062992125984"/>
  <pageSetup paperSize="9" scale="88"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7ABF9-846E-1A4B-8BC1-C3C8724FD925}">
  <sheetPr codeName="Sheet1">
    <tabColor theme="4" tint="0.79998168889431442"/>
    <pageSetUpPr fitToPage="1"/>
  </sheetPr>
  <dimension ref="B2:E8"/>
  <sheetViews>
    <sheetView showGridLines="0" showRowColHeaders="0" zoomScale="120" zoomScaleNormal="120" workbookViewId="0"/>
  </sheetViews>
  <sheetFormatPr baseColWidth="10" defaultColWidth="7.7109375" defaultRowHeight="35" customHeight="1"/>
  <cols>
    <col min="1" max="1" width="5" style="257" customWidth="1"/>
    <col min="2" max="5" width="21.7109375" style="257" customWidth="1"/>
    <col min="6" max="6" width="5" style="257" customWidth="1"/>
    <col min="7" max="16384" width="7.7109375" style="257"/>
  </cols>
  <sheetData>
    <row r="2" spans="2:5" ht="35" customHeight="1">
      <c r="B2" s="257" t="s">
        <v>660</v>
      </c>
      <c r="C2" s="255"/>
      <c r="D2" s="255"/>
      <c r="E2" s="403" t="str">
        <f>ナビ!C4</f>
        <v>　</v>
      </c>
    </row>
    <row r="4" spans="2:5" ht="35" customHeight="1">
      <c r="B4" s="634" t="s">
        <v>661</v>
      </c>
      <c r="C4" s="634"/>
      <c r="D4" s="634"/>
      <c r="E4" s="634"/>
    </row>
    <row r="5" spans="2:5" s="255" customFormat="1" ht="35" customHeight="1">
      <c r="B5" s="257"/>
      <c r="C5" s="257"/>
      <c r="D5" s="257"/>
      <c r="E5" s="257"/>
    </row>
    <row r="6" spans="2:5" ht="35" customHeight="1" thickBot="1"/>
    <row r="7" spans="2:5" ht="35" customHeight="1">
      <c r="B7" s="407" t="s">
        <v>662</v>
      </c>
      <c r="C7" s="408" t="s">
        <v>756</v>
      </c>
      <c r="D7" s="408" t="s">
        <v>757</v>
      </c>
      <c r="E7" s="409" t="s">
        <v>663</v>
      </c>
    </row>
    <row r="8" spans="2:5" ht="35" customHeight="1" thickBot="1">
      <c r="B8" s="258">
        <f ca="1">'2_b'!B29</f>
        <v>30715365</v>
      </c>
      <c r="C8" s="256">
        <f>IF(HKS=1,'1_a'!H7,販売量!O8)</f>
        <v>48604.486618181822</v>
      </c>
      <c r="D8" s="259">
        <f ca="1">B8/C8</f>
        <v>631.94505563422797</v>
      </c>
      <c r="E8" s="260">
        <f>レートメイク!E29</f>
        <v>30715365.140000001</v>
      </c>
    </row>
  </sheetData>
  <mergeCells count="1">
    <mergeCell ref="B4:E4"/>
  </mergeCells>
  <phoneticPr fontId="2"/>
  <printOptions horizontalCentered="1"/>
  <pageMargins left="0.59055118110236227" right="0.19685039370078741" top="0.98425196850393704" bottom="0.98425196850393704" header="0.51181102362204722" footer="0.51181102362204722"/>
  <pageSetup paperSize="9" orientation="portrait" r:id="rId1"/>
  <headerFooter alignWithMargins="0"/>
  <ignoredErrors>
    <ignoredError sqref="B8:E8" unlocked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24AF1-2860-6F45-B171-E7009EE56956}">
  <sheetPr codeName="Sheet13">
    <tabColor rgb="FFFFC000"/>
  </sheetPr>
  <dimension ref="B1:N57"/>
  <sheetViews>
    <sheetView showGridLines="0" showRowColHeaders="0" zoomScale="120" zoomScaleNormal="120" workbookViewId="0"/>
  </sheetViews>
  <sheetFormatPr baseColWidth="10" defaultColWidth="10.7109375" defaultRowHeight="15"/>
  <cols>
    <col min="1" max="1" width="5" style="97" customWidth="1"/>
    <col min="2" max="2" width="24.42578125" style="97" customWidth="1"/>
    <col min="3" max="3" width="6.7109375" style="102" customWidth="1"/>
    <col min="4" max="13" width="12.28515625" style="97" customWidth="1"/>
    <col min="14" max="14" width="5" style="97" customWidth="1"/>
    <col min="15" max="16384" width="10.7109375" style="97"/>
  </cols>
  <sheetData>
    <row r="1" spans="2:13" ht="25" customHeight="1">
      <c r="M1" s="400" t="str">
        <f>ナビ!C4</f>
        <v>　</v>
      </c>
    </row>
    <row r="2" spans="2:13" ht="20" customHeight="1">
      <c r="B2" s="97" t="s">
        <v>595</v>
      </c>
    </row>
    <row r="3" spans="2:13" ht="20" customHeight="1">
      <c r="B3" s="97" t="s">
        <v>596</v>
      </c>
    </row>
    <row r="4" spans="2:13" ht="20" customHeight="1"/>
    <row r="5" spans="2:13" ht="20" customHeight="1">
      <c r="B5" s="97" t="s">
        <v>597</v>
      </c>
    </row>
    <row r="6" spans="2:13" ht="20" customHeight="1">
      <c r="B6" s="110" t="s">
        <v>598</v>
      </c>
      <c r="C6" s="107" t="s">
        <v>625</v>
      </c>
      <c r="D6" s="110" t="s">
        <v>472</v>
      </c>
    </row>
    <row r="7" spans="2:13" ht="20" customHeight="1">
      <c r="B7" s="110" t="s">
        <v>506</v>
      </c>
      <c r="C7" s="107" t="s">
        <v>606</v>
      </c>
      <c r="D7" s="108">
        <f>'1_a'!H19</f>
        <v>6953445</v>
      </c>
    </row>
    <row r="8" spans="2:13" ht="20" customHeight="1">
      <c r="B8" s="110" t="s">
        <v>436</v>
      </c>
      <c r="C8" s="107" t="s">
        <v>607</v>
      </c>
      <c r="D8" s="108">
        <f>SUM('1_a'!H23:I23)</f>
        <v>5368245</v>
      </c>
    </row>
    <row r="9" spans="2:13" ht="20" customHeight="1">
      <c r="B9" s="110" t="s">
        <v>437</v>
      </c>
      <c r="C9" s="107" t="s">
        <v>608</v>
      </c>
      <c r="D9" s="108">
        <f>SUM('1_a'!H24:I24)</f>
        <v>1280740</v>
      </c>
      <c r="E9" s="99"/>
      <c r="F9" s="99"/>
      <c r="G9" s="99"/>
      <c r="H9" s="99"/>
      <c r="I9" s="99"/>
      <c r="J9" s="99"/>
      <c r="K9" s="99"/>
    </row>
    <row r="10" spans="2:13" ht="20" customHeight="1">
      <c r="B10" s="110" t="s">
        <v>438</v>
      </c>
      <c r="C10" s="107" t="s">
        <v>609</v>
      </c>
      <c r="D10" s="108">
        <f>SUM('1_a'!H25:I25)</f>
        <v>3555750</v>
      </c>
      <c r="E10" s="99"/>
      <c r="F10" s="99"/>
      <c r="G10" s="99"/>
      <c r="H10" s="99"/>
      <c r="I10" s="99"/>
      <c r="J10" s="99"/>
      <c r="K10" s="99"/>
    </row>
    <row r="11" spans="2:13" ht="20" customHeight="1">
      <c r="B11" s="110" t="s">
        <v>439</v>
      </c>
      <c r="C11" s="107" t="s">
        <v>610</v>
      </c>
      <c r="D11" s="108">
        <f>SUM('1_a'!H26:I26)</f>
        <v>0</v>
      </c>
      <c r="E11" s="99"/>
      <c r="F11" s="99"/>
      <c r="G11" s="99"/>
      <c r="H11" s="99"/>
      <c r="I11" s="99"/>
      <c r="J11" s="99"/>
      <c r="K11" s="99"/>
    </row>
    <row r="12" spans="2:13" ht="20" customHeight="1">
      <c r="B12" s="110" t="s">
        <v>599</v>
      </c>
      <c r="C12" s="107" t="s">
        <v>611</v>
      </c>
      <c r="D12" s="108">
        <f>SUM('1_a'!H27:I30)</f>
        <v>36814400</v>
      </c>
      <c r="E12" s="99"/>
      <c r="F12" s="99"/>
      <c r="G12" s="99"/>
      <c r="H12" s="99"/>
      <c r="I12" s="99"/>
      <c r="J12" s="99"/>
      <c r="K12" s="99"/>
    </row>
    <row r="13" spans="2:13" ht="20" customHeight="1">
      <c r="B13" s="110" t="s">
        <v>440</v>
      </c>
      <c r="C13" s="107" t="s">
        <v>612</v>
      </c>
      <c r="D13" s="108">
        <f>SUM('1_a'!H31:I31)</f>
        <v>5361870</v>
      </c>
      <c r="E13" s="99"/>
      <c r="F13" s="99"/>
      <c r="G13" s="99"/>
      <c r="H13" s="99"/>
      <c r="I13" s="99"/>
      <c r="J13" s="99"/>
      <c r="K13" s="99"/>
    </row>
    <row r="14" spans="2:13" ht="20" customHeight="1">
      <c r="B14" s="110" t="s">
        <v>441</v>
      </c>
      <c r="C14" s="107" t="s">
        <v>613</v>
      </c>
      <c r="D14" s="108">
        <f>SUM('1_a'!H32:I32)</f>
        <v>0</v>
      </c>
      <c r="E14" s="99"/>
      <c r="F14" s="99"/>
      <c r="G14" s="99"/>
      <c r="H14" s="99"/>
      <c r="I14" s="99"/>
      <c r="J14" s="99"/>
      <c r="K14" s="99"/>
    </row>
    <row r="15" spans="2:13" ht="20" customHeight="1">
      <c r="B15" s="110" t="s">
        <v>507</v>
      </c>
      <c r="C15" s="107" t="s">
        <v>614</v>
      </c>
      <c r="D15" s="108">
        <f>SUM('1_a'!H33:I33)</f>
        <v>0</v>
      </c>
      <c r="E15" s="99"/>
      <c r="F15" s="99"/>
      <c r="G15" s="99"/>
      <c r="H15" s="99"/>
      <c r="I15" s="99"/>
      <c r="J15" s="99"/>
      <c r="K15" s="99"/>
    </row>
    <row r="16" spans="2:13" ht="20" customHeight="1">
      <c r="B16" s="110" t="s">
        <v>339</v>
      </c>
      <c r="C16" s="107" t="s">
        <v>615</v>
      </c>
      <c r="D16" s="108">
        <f>SUM(D7:D15)</f>
        <v>59334450</v>
      </c>
      <c r="E16" s="99"/>
      <c r="F16" s="99"/>
      <c r="G16" s="99"/>
      <c r="H16" s="99"/>
      <c r="I16" s="99"/>
      <c r="J16" s="99"/>
      <c r="K16" s="99"/>
    </row>
    <row r="17" spans="2:13" ht="20" customHeight="1">
      <c r="B17" s="110" t="s">
        <v>600</v>
      </c>
      <c r="C17" s="107" t="s">
        <v>616</v>
      </c>
      <c r="D17" s="117">
        <f>SUM(D7:D14)</f>
        <v>59334450</v>
      </c>
      <c r="E17" s="99"/>
      <c r="F17" s="99"/>
      <c r="G17" s="99"/>
      <c r="H17" s="99"/>
      <c r="I17" s="99"/>
      <c r="J17" s="99"/>
      <c r="K17" s="99"/>
    </row>
    <row r="18" spans="2:13" ht="20" customHeight="1">
      <c r="D18" s="207"/>
      <c r="E18" s="99"/>
      <c r="F18" s="99"/>
      <c r="G18" s="99"/>
      <c r="H18" s="99"/>
      <c r="I18" s="99"/>
      <c r="J18" s="99"/>
      <c r="K18" s="99"/>
    </row>
    <row r="19" spans="2:13" ht="20" customHeight="1">
      <c r="B19" s="97" t="s">
        <v>603</v>
      </c>
      <c r="D19" s="207"/>
      <c r="E19" s="99"/>
      <c r="F19" s="99"/>
      <c r="G19" s="99"/>
      <c r="H19" s="99"/>
      <c r="I19" s="99"/>
      <c r="J19" s="99"/>
      <c r="K19" s="99"/>
    </row>
    <row r="20" spans="2:13" ht="20" customHeight="1">
      <c r="B20" s="110" t="s">
        <v>601</v>
      </c>
      <c r="C20" s="107" t="s">
        <v>617</v>
      </c>
      <c r="D20" s="110">
        <f>標準係数B!AH6</f>
        <v>0.83399999999999996</v>
      </c>
      <c r="E20" s="99"/>
      <c r="F20" s="99"/>
      <c r="G20" s="99"/>
      <c r="H20" s="99"/>
      <c r="I20" s="99"/>
      <c r="J20" s="99"/>
      <c r="K20" s="99"/>
      <c r="L20" s="227"/>
    </row>
    <row r="21" spans="2:13" ht="20" customHeight="1">
      <c r="B21" s="110" t="s">
        <v>602</v>
      </c>
      <c r="C21" s="107" t="s">
        <v>618</v>
      </c>
      <c r="D21" s="110">
        <f>標準係数B!AH7</f>
        <v>0.16600000000000001</v>
      </c>
      <c r="E21" s="99"/>
      <c r="F21" s="99"/>
      <c r="G21" s="99"/>
      <c r="H21" s="99"/>
      <c r="I21" s="99"/>
      <c r="J21" s="99"/>
      <c r="K21" s="99"/>
    </row>
    <row r="22" spans="2:13" ht="20" customHeight="1">
      <c r="E22" s="99"/>
      <c r="F22" s="99"/>
      <c r="G22" s="99"/>
      <c r="H22" s="99"/>
      <c r="I22" s="99"/>
      <c r="J22" s="99"/>
      <c r="K22" s="99"/>
    </row>
    <row r="23" spans="2:13" ht="20" customHeight="1">
      <c r="B23" s="97" t="s">
        <v>624</v>
      </c>
      <c r="E23" s="99"/>
      <c r="F23" s="99"/>
      <c r="G23" s="99"/>
      <c r="H23" s="99"/>
      <c r="I23" s="99"/>
      <c r="J23" s="99"/>
      <c r="K23" s="99"/>
    </row>
    <row r="24" spans="2:13" ht="20" customHeight="1">
      <c r="B24" s="110" t="s">
        <v>604</v>
      </c>
      <c r="C24" s="107" t="s">
        <v>619</v>
      </c>
      <c r="D24" s="110">
        <f>標準係数B!AH4</f>
        <v>0.40589999999999998</v>
      </c>
      <c r="E24" s="99"/>
      <c r="F24" s="99"/>
      <c r="G24" s="99"/>
      <c r="H24" s="99"/>
      <c r="I24" s="99"/>
      <c r="J24" s="99"/>
      <c r="K24" s="101"/>
    </row>
    <row r="25" spans="2:13" ht="20" customHeight="1">
      <c r="B25" s="110" t="s">
        <v>605</v>
      </c>
      <c r="C25" s="107" t="s">
        <v>620</v>
      </c>
      <c r="D25" s="110">
        <f>標準係数B!AH5</f>
        <v>0.59409999999999996</v>
      </c>
    </row>
    <row r="26" spans="2:13" ht="20" customHeight="1"/>
    <row r="27" spans="2:13" ht="20" customHeight="1">
      <c r="M27" s="400" t="str">
        <f>ナビ!C4</f>
        <v>　</v>
      </c>
    </row>
    <row r="28" spans="2:13" ht="20" customHeight="1">
      <c r="B28" s="97" t="s">
        <v>628</v>
      </c>
    </row>
    <row r="29" spans="2:13" ht="20" customHeight="1">
      <c r="B29" s="208" t="s">
        <v>491</v>
      </c>
      <c r="C29" s="209" t="s">
        <v>532</v>
      </c>
      <c r="D29" s="210"/>
      <c r="E29" s="211" t="s">
        <v>560</v>
      </c>
      <c r="F29" s="212"/>
      <c r="G29" s="155"/>
      <c r="H29" s="211" t="s">
        <v>80</v>
      </c>
      <c r="I29" s="212"/>
      <c r="J29" s="155"/>
      <c r="K29" s="110" t="s">
        <v>72</v>
      </c>
    </row>
    <row r="30" spans="2:13" ht="20" customHeight="1">
      <c r="B30" s="213"/>
      <c r="C30" s="214"/>
      <c r="D30" s="215"/>
      <c r="E30" s="110" t="s">
        <v>563</v>
      </c>
      <c r="F30" s="110" t="s">
        <v>564</v>
      </c>
      <c r="G30" s="110" t="s">
        <v>565</v>
      </c>
      <c r="H30" s="110" t="s">
        <v>566</v>
      </c>
      <c r="I30" s="110" t="s">
        <v>567</v>
      </c>
      <c r="J30" s="110" t="s">
        <v>568</v>
      </c>
      <c r="K30" s="110" t="s">
        <v>588</v>
      </c>
    </row>
    <row r="31" spans="2:13" ht="20" customHeight="1">
      <c r="B31" s="110" t="s">
        <v>474</v>
      </c>
      <c r="C31" s="107" t="s">
        <v>569</v>
      </c>
      <c r="D31" s="216">
        <f>'2_a'!E9</f>
        <v>11501052</v>
      </c>
      <c r="E31" s="120"/>
      <c r="F31" s="120">
        <f>ROUND(_Ａ,0)</f>
        <v>11501052</v>
      </c>
      <c r="G31" s="120">
        <f>SUM(E31:F31)</f>
        <v>11501052</v>
      </c>
      <c r="H31" s="120"/>
      <c r="I31" s="120"/>
      <c r="J31" s="120"/>
      <c r="K31" s="120">
        <f t="shared" ref="K31:K46" si="0">D31-G31-J31</f>
        <v>0</v>
      </c>
      <c r="L31" s="207"/>
      <c r="M31" s="207"/>
    </row>
    <row r="32" spans="2:13" ht="20" customHeight="1">
      <c r="B32" s="110" t="s">
        <v>81</v>
      </c>
      <c r="C32" s="107" t="s">
        <v>570</v>
      </c>
      <c r="D32" s="216">
        <f>'2_a'!E10</f>
        <v>8579625</v>
      </c>
      <c r="E32" s="120"/>
      <c r="F32" s="120"/>
      <c r="G32" s="120"/>
      <c r="H32" s="120">
        <f>ROUND(_Ｂ*_Y,0)</f>
        <v>3482470</v>
      </c>
      <c r="I32" s="120"/>
      <c r="J32" s="120">
        <f t="shared" ref="J32:J37" si="1">SUM(H32:I32)</f>
        <v>3482470</v>
      </c>
      <c r="K32" s="120">
        <f t="shared" si="0"/>
        <v>5097155</v>
      </c>
      <c r="L32" s="207"/>
      <c r="M32" s="207"/>
    </row>
    <row r="33" spans="2:14" ht="20" customHeight="1">
      <c r="B33" s="110" t="s">
        <v>477</v>
      </c>
      <c r="C33" s="107" t="s">
        <v>571</v>
      </c>
      <c r="D33" s="216">
        <f>'2_a'!E11</f>
        <v>1571432</v>
      </c>
      <c r="E33" s="120">
        <f>ROUND((_PB+_PC+_PD+_PE)/(_P-_PA)*_Ｃ,0)</f>
        <v>306142</v>
      </c>
      <c r="F33" s="120"/>
      <c r="G33" s="120">
        <f>SUM(E33:F33)</f>
        <v>306142</v>
      </c>
      <c r="H33" s="120">
        <f>ROUND((_V*_PF+_PH+_Y*_PI)/(_P-_PA)*_Ｃ,0)</f>
        <v>921097</v>
      </c>
      <c r="I33" s="120"/>
      <c r="J33" s="120">
        <f t="shared" si="1"/>
        <v>921097</v>
      </c>
      <c r="K33" s="120">
        <f t="shared" si="0"/>
        <v>344193</v>
      </c>
      <c r="L33" s="207"/>
      <c r="M33" s="207"/>
    </row>
    <row r="34" spans="2:14" ht="20" customHeight="1">
      <c r="B34" s="110" t="s">
        <v>478</v>
      </c>
      <c r="C34" s="107" t="s">
        <v>572</v>
      </c>
      <c r="D34" s="216">
        <f>'2_a'!E12</f>
        <v>261400</v>
      </c>
      <c r="E34" s="120">
        <f>ROUND((_PA+_PB+_PC+_PD+_PE)/_P*_Ｄ,0)</f>
        <v>75591</v>
      </c>
      <c r="F34" s="120"/>
      <c r="G34" s="120">
        <f>SUM(E34:F34)</f>
        <v>75591</v>
      </c>
      <c r="H34" s="120">
        <f>ROUND((_V*_PF+_PH+_Y*_PI)/_P*_Ｄ,0)</f>
        <v>135264</v>
      </c>
      <c r="I34" s="120"/>
      <c r="J34" s="120">
        <f t="shared" si="1"/>
        <v>135264</v>
      </c>
      <c r="K34" s="120">
        <f t="shared" si="0"/>
        <v>50545</v>
      </c>
      <c r="L34" s="207"/>
      <c r="M34" s="207"/>
    </row>
    <row r="35" spans="2:14" ht="20" customHeight="1">
      <c r="B35" s="110" t="s">
        <v>68</v>
      </c>
      <c r="C35" s="107" t="s">
        <v>573</v>
      </c>
      <c r="D35" s="216">
        <f>'2_a'!E14</f>
        <v>340900</v>
      </c>
      <c r="E35" s="120"/>
      <c r="F35" s="120"/>
      <c r="G35" s="120"/>
      <c r="H35" s="120">
        <f>ROUND(_Ｑ,0)</f>
        <v>340900</v>
      </c>
      <c r="I35" s="120"/>
      <c r="J35" s="120">
        <f t="shared" si="1"/>
        <v>340900</v>
      </c>
      <c r="K35" s="120">
        <f t="shared" si="0"/>
        <v>0</v>
      </c>
      <c r="L35" s="207"/>
      <c r="M35" s="207"/>
    </row>
    <row r="36" spans="2:14" ht="20" customHeight="1">
      <c r="B36" s="217" t="s">
        <v>589</v>
      </c>
      <c r="C36" s="107" t="s">
        <v>574</v>
      </c>
      <c r="D36" s="216">
        <f>'1_b'!G54</f>
        <v>3892269</v>
      </c>
      <c r="E36" s="120">
        <f>ROUND((_PB+_PC+_PD+_PE)/(_PP-_PA)*_Ｅ,0)</f>
        <v>758282</v>
      </c>
      <c r="F36" s="120"/>
      <c r="G36" s="120">
        <f>SUM(E36:F36)</f>
        <v>758282</v>
      </c>
      <c r="H36" s="120">
        <f>ROUND((_V*_PF+_PH)/(_PP-_PA)*_Ｅ,0)</f>
        <v>2281460</v>
      </c>
      <c r="I36" s="120"/>
      <c r="J36" s="120">
        <f t="shared" si="1"/>
        <v>2281460</v>
      </c>
      <c r="K36" s="120">
        <f t="shared" si="0"/>
        <v>852527</v>
      </c>
      <c r="L36" s="207"/>
      <c r="M36" s="207"/>
    </row>
    <row r="37" spans="2:14" ht="20" customHeight="1">
      <c r="B37" s="217" t="s">
        <v>551</v>
      </c>
      <c r="C37" s="107" t="s">
        <v>575</v>
      </c>
      <c r="D37" s="216">
        <f>'1_b'!G57</f>
        <v>0</v>
      </c>
      <c r="E37" s="120"/>
      <c r="F37" s="120"/>
      <c r="G37" s="120"/>
      <c r="H37" s="120">
        <f>ROUND(_Ｆ*_Y,0)</f>
        <v>0</v>
      </c>
      <c r="I37" s="120"/>
      <c r="J37" s="120">
        <f t="shared" si="1"/>
        <v>0</v>
      </c>
      <c r="K37" s="120">
        <f t="shared" si="0"/>
        <v>0</v>
      </c>
      <c r="L37" s="207"/>
      <c r="M37" s="207"/>
    </row>
    <row r="38" spans="2:14" ht="20" customHeight="1">
      <c r="B38" s="110" t="s">
        <v>370</v>
      </c>
      <c r="C38" s="107" t="s">
        <v>576</v>
      </c>
      <c r="D38" s="216">
        <f>SUM(D36:D37)</f>
        <v>3892269</v>
      </c>
      <c r="E38" s="120">
        <f>SUM(E36:E37)</f>
        <v>758282</v>
      </c>
      <c r="F38" s="120"/>
      <c r="G38" s="120">
        <f>SUM(G36:G37)</f>
        <v>758282</v>
      </c>
      <c r="H38" s="120">
        <f>SUM(H36:H37)</f>
        <v>2281460</v>
      </c>
      <c r="I38" s="120"/>
      <c r="J38" s="120">
        <f>SUM(J36:J37)</f>
        <v>2281460</v>
      </c>
      <c r="K38" s="120">
        <f t="shared" si="0"/>
        <v>852527</v>
      </c>
      <c r="L38" s="207"/>
      <c r="M38" s="207"/>
    </row>
    <row r="39" spans="2:14" ht="20" customHeight="1">
      <c r="B39" s="110" t="s">
        <v>577</v>
      </c>
      <c r="C39" s="107" t="s">
        <v>578</v>
      </c>
      <c r="D39" s="216">
        <f t="shared" ref="D39:J39" si="2">SUM(D31:D35,D38)</f>
        <v>26146678</v>
      </c>
      <c r="E39" s="120">
        <f t="shared" si="2"/>
        <v>1140015</v>
      </c>
      <c r="F39" s="120">
        <f t="shared" si="2"/>
        <v>11501052</v>
      </c>
      <c r="G39" s="120">
        <f t="shared" si="2"/>
        <v>12641067</v>
      </c>
      <c r="H39" s="120">
        <f t="shared" si="2"/>
        <v>7161191</v>
      </c>
      <c r="I39" s="120">
        <f t="shared" si="2"/>
        <v>0</v>
      </c>
      <c r="J39" s="120">
        <f t="shared" si="2"/>
        <v>7161191</v>
      </c>
      <c r="K39" s="120">
        <f t="shared" si="0"/>
        <v>6344420</v>
      </c>
      <c r="L39" s="207"/>
      <c r="M39" s="207"/>
    </row>
    <row r="40" spans="2:14" ht="20" customHeight="1">
      <c r="B40" s="110" t="s">
        <v>480</v>
      </c>
      <c r="C40" s="107" t="s">
        <v>579</v>
      </c>
      <c r="D40" s="216">
        <f>'2_a'!E16</f>
        <v>3922002</v>
      </c>
      <c r="E40" s="120">
        <f>ROUND(_Hc/_Ｈ*(_Ｂ+_Ｃ+_Ｄ+_Ｑ+_Ｇ)/_Ｈ*_Ｉ,0)</f>
        <v>1062103</v>
      </c>
      <c r="F40" s="120">
        <f>ROUND(_Hc/_Ｈ*_Ａ/_Ｈ*_Ｉ,0)</f>
        <v>834058</v>
      </c>
      <c r="G40" s="120">
        <f>SUM(E40:F40)</f>
        <v>1896161</v>
      </c>
      <c r="H40" s="120">
        <f>ROUND(_Hf/_Ｈ*(_Ｂ+_Ｃ+_Ｄ+_Ｑ+_Ｇ)/_Ｈ*_Ｉ,0)</f>
        <v>601683</v>
      </c>
      <c r="I40" s="120">
        <f>ROUND(_Hf/_Ｈ*_Ａ/_Ｈ*_Ｉ,0)</f>
        <v>472495</v>
      </c>
      <c r="J40" s="120">
        <f>SUM(H40:I40)</f>
        <v>1074178</v>
      </c>
      <c r="K40" s="120">
        <f t="shared" si="0"/>
        <v>951663</v>
      </c>
      <c r="L40" s="207"/>
      <c r="M40" s="207"/>
    </row>
    <row r="41" spans="2:14" ht="20" customHeight="1">
      <c r="B41" s="110" t="s">
        <v>580</v>
      </c>
      <c r="C41" s="107" t="s">
        <v>581</v>
      </c>
      <c r="D41" s="216">
        <f t="shared" ref="D41:J41" si="3">SUM(D39:D40)</f>
        <v>30068680</v>
      </c>
      <c r="E41" s="120">
        <f t="shared" si="3"/>
        <v>2202118</v>
      </c>
      <c r="F41" s="120">
        <f t="shared" si="3"/>
        <v>12335110</v>
      </c>
      <c r="G41" s="120">
        <f t="shared" si="3"/>
        <v>14537228</v>
      </c>
      <c r="H41" s="120">
        <f t="shared" si="3"/>
        <v>7762874</v>
      </c>
      <c r="I41" s="120">
        <f t="shared" si="3"/>
        <v>472495</v>
      </c>
      <c r="J41" s="120">
        <f t="shared" si="3"/>
        <v>8235369</v>
      </c>
      <c r="K41" s="120">
        <f t="shared" si="0"/>
        <v>7296083</v>
      </c>
      <c r="L41" s="207"/>
      <c r="M41" s="207"/>
    </row>
    <row r="42" spans="2:14" ht="20" customHeight="1">
      <c r="B42" s="110" t="s">
        <v>482</v>
      </c>
      <c r="C42" s="107" t="s">
        <v>582</v>
      </c>
      <c r="D42" s="216">
        <f>'2_a'!E18</f>
        <v>1613897</v>
      </c>
      <c r="E42" s="120">
        <f>ROUND((_PA+_PB+_PC+_PD+_PE)/_P*_Ｋ*_Ja/_Jc,0)</f>
        <v>70697</v>
      </c>
      <c r="F42" s="120">
        <f>ROUND((_PA+_PB+_PC+_PD+_PE)/_P*_Ｋ*_Jb/_Jc,0)</f>
        <v>396006</v>
      </c>
      <c r="G42" s="120">
        <f>SUM(E42:F42)</f>
        <v>466703</v>
      </c>
      <c r="H42" s="120">
        <f>ROUND((_V*_PF+_PH+_Y*_PI)/_P*_Ｋ*_Jd/_Jf,0)</f>
        <v>787213</v>
      </c>
      <c r="I42" s="120">
        <f>ROUND((_V*_PF+_PH+_Y*_PI)/_P*_Ｋ*_Je/_Jf,0)</f>
        <v>47914</v>
      </c>
      <c r="J42" s="120">
        <f>SUM(H42:I42)</f>
        <v>835127</v>
      </c>
      <c r="K42" s="120">
        <f t="shared" si="0"/>
        <v>312067</v>
      </c>
      <c r="L42" s="207"/>
      <c r="M42" s="207"/>
    </row>
    <row r="43" spans="2:14" ht="20" customHeight="1">
      <c r="B43" s="110" t="s">
        <v>223</v>
      </c>
      <c r="C43" s="107" t="s">
        <v>583</v>
      </c>
      <c r="D43" s="216">
        <f>SUM('2_a'!E19:E21)</f>
        <v>196457</v>
      </c>
      <c r="E43" s="120">
        <f>ROUND((_PA+_PB+_PC+_PD+_PE)/_P*_Ｌ*_Ja/_Jc,0)</f>
        <v>8606</v>
      </c>
      <c r="F43" s="120">
        <f>ROUND((_PA+_PB+_PC+_PD+_PE)/_P*_Ｌ*_Jb/_Jc,0)</f>
        <v>48205</v>
      </c>
      <c r="G43" s="120">
        <f>SUM(E43:F43)</f>
        <v>56811</v>
      </c>
      <c r="H43" s="120">
        <f>ROUND((_V*_PF+_PH+_Y*_PI)/_P*_Ｌ*_Jd/_Jf,0)</f>
        <v>95826</v>
      </c>
      <c r="I43" s="120">
        <f>ROUND((_V*_PF+_PH+_Y*_PI)/_P*_Ｌ*_Je/_Jf,0)</f>
        <v>5833</v>
      </c>
      <c r="J43" s="120">
        <f>SUM(H43:I43)</f>
        <v>101659</v>
      </c>
      <c r="K43" s="120">
        <f t="shared" si="0"/>
        <v>37987</v>
      </c>
      <c r="L43" s="207"/>
      <c r="M43" s="207"/>
    </row>
    <row r="44" spans="2:14" ht="20" customHeight="1">
      <c r="B44" s="110" t="s">
        <v>584</v>
      </c>
      <c r="C44" s="107" t="s">
        <v>585</v>
      </c>
      <c r="D44" s="216">
        <f t="shared" ref="D44:J44" si="4">SUM(D41:D43)</f>
        <v>31879034</v>
      </c>
      <c r="E44" s="120">
        <f t="shared" si="4"/>
        <v>2281421</v>
      </c>
      <c r="F44" s="120">
        <f t="shared" si="4"/>
        <v>12779321</v>
      </c>
      <c r="G44" s="120">
        <f t="shared" si="4"/>
        <v>15060742</v>
      </c>
      <c r="H44" s="120">
        <f t="shared" si="4"/>
        <v>8645913</v>
      </c>
      <c r="I44" s="120">
        <f t="shared" si="4"/>
        <v>526242</v>
      </c>
      <c r="J44" s="120">
        <f t="shared" si="4"/>
        <v>9172155</v>
      </c>
      <c r="K44" s="120">
        <f t="shared" si="0"/>
        <v>7646137</v>
      </c>
      <c r="L44" s="207"/>
      <c r="M44" s="207"/>
    </row>
    <row r="45" spans="2:14" ht="20" customHeight="1">
      <c r="B45" s="110" t="s">
        <v>552</v>
      </c>
      <c r="C45" s="107" t="s">
        <v>586</v>
      </c>
      <c r="D45" s="216">
        <f>'2_a'!E13</f>
        <v>5130</v>
      </c>
      <c r="E45" s="120">
        <f>ROUND(_Mc/_Ｍ*_Ｎ*_Ma/_Mc,0)</f>
        <v>367</v>
      </c>
      <c r="F45" s="120">
        <f>ROUND(_Mc/_Ｍ*_Ｎ*_Mb/_Mc,0)</f>
        <v>2056</v>
      </c>
      <c r="G45" s="120">
        <f>SUM(E45:F45)</f>
        <v>2423</v>
      </c>
      <c r="H45" s="120">
        <f>ROUND(_Mf/_Ｍ*_Ｎ*_Md/_Mf,0)</f>
        <v>1391</v>
      </c>
      <c r="I45" s="120">
        <f>ROUND(_Mf/_Ｍ*_Ｎ*_Me/_Mf,0)</f>
        <v>85</v>
      </c>
      <c r="J45" s="120">
        <f>SUM(H45:I45)</f>
        <v>1476</v>
      </c>
      <c r="K45" s="120">
        <f t="shared" si="0"/>
        <v>1231</v>
      </c>
      <c r="L45" s="207"/>
      <c r="M45" s="207"/>
    </row>
    <row r="46" spans="2:14" ht="20" customHeight="1">
      <c r="B46" s="110" t="s">
        <v>561</v>
      </c>
      <c r="C46" s="107" t="s">
        <v>587</v>
      </c>
      <c r="D46" s="216">
        <f t="shared" ref="D46:J46" si="5">SUM(D44:D45)</f>
        <v>31884164</v>
      </c>
      <c r="E46" s="120">
        <f t="shared" si="5"/>
        <v>2281788</v>
      </c>
      <c r="F46" s="120">
        <f t="shared" si="5"/>
        <v>12781377</v>
      </c>
      <c r="G46" s="120">
        <f t="shared" si="5"/>
        <v>15063165</v>
      </c>
      <c r="H46" s="120">
        <f t="shared" si="5"/>
        <v>8647304</v>
      </c>
      <c r="I46" s="120">
        <f t="shared" si="5"/>
        <v>526327</v>
      </c>
      <c r="J46" s="120">
        <f t="shared" si="5"/>
        <v>9173631</v>
      </c>
      <c r="K46" s="120">
        <f t="shared" si="0"/>
        <v>7647368</v>
      </c>
      <c r="L46" s="207"/>
      <c r="M46" s="207"/>
    </row>
    <row r="47" spans="2:14" ht="20" customHeight="1">
      <c r="L47" s="102"/>
      <c r="M47" s="207"/>
      <c r="N47" s="100"/>
    </row>
    <row r="48" spans="2:14" ht="20" customHeight="1">
      <c r="B48" s="97" t="s">
        <v>626</v>
      </c>
    </row>
    <row r="49" spans="2:13" ht="20" customHeight="1">
      <c r="B49" s="97" t="s">
        <v>627</v>
      </c>
    </row>
    <row r="50" spans="2:13" ht="20" customHeight="1">
      <c r="B50" s="218" t="s">
        <v>553</v>
      </c>
      <c r="C50" s="219"/>
      <c r="D50" s="220"/>
      <c r="E50" s="211" t="s">
        <v>623</v>
      </c>
      <c r="F50" s="212"/>
      <c r="G50" s="155"/>
      <c r="H50" s="211" t="s">
        <v>557</v>
      </c>
      <c r="I50" s="155"/>
      <c r="J50" s="211" t="s">
        <v>590</v>
      </c>
      <c r="K50" s="155"/>
      <c r="L50" s="211" t="s">
        <v>591</v>
      </c>
      <c r="M50" s="155"/>
    </row>
    <row r="51" spans="2:13" ht="20" customHeight="1">
      <c r="B51" s="221"/>
      <c r="C51" s="97"/>
      <c r="D51" s="222"/>
      <c r="E51" s="211" t="s">
        <v>621</v>
      </c>
      <c r="F51" s="155"/>
      <c r="G51" s="211" t="s">
        <v>622</v>
      </c>
      <c r="H51" s="110" t="s">
        <v>621</v>
      </c>
      <c r="I51" s="110" t="s">
        <v>592</v>
      </c>
      <c r="J51" s="110" t="s">
        <v>562</v>
      </c>
      <c r="K51" s="110" t="s">
        <v>592</v>
      </c>
      <c r="L51" s="110" t="s">
        <v>562</v>
      </c>
      <c r="M51" s="110" t="s">
        <v>592</v>
      </c>
    </row>
    <row r="52" spans="2:13" ht="20" customHeight="1">
      <c r="B52" s="211" t="s">
        <v>558</v>
      </c>
      <c r="C52" s="155"/>
      <c r="D52" s="223">
        <f>SUM(F46,I46)</f>
        <v>13307704</v>
      </c>
      <c r="E52" s="405" t="s">
        <v>549</v>
      </c>
      <c r="F52" s="116">
        <f>販売量!O11</f>
        <v>51621.886618181823</v>
      </c>
      <c r="G52" s="234">
        <f>IF(KYN=1,"-",ROUNDDOWN(D52/F52,2))</f>
        <v>257.79000000000002</v>
      </c>
      <c r="H52" s="235">
        <f>F52-(J52+L52)</f>
        <v>48604.886618181823</v>
      </c>
      <c r="I52" s="117">
        <f>D52-(K52+M52)</f>
        <v>12529952</v>
      </c>
      <c r="J52" s="236">
        <f>ROUNDDOWN(販売量!O9,0)</f>
        <v>0</v>
      </c>
      <c r="K52" s="120">
        <f>IF(KYN=1,0,ROUNDDOWN(G52*J52,0))</f>
        <v>0</v>
      </c>
      <c r="L52" s="120">
        <f>ROUNDDOWN(販売量!O10,0)</f>
        <v>3017</v>
      </c>
      <c r="M52" s="120">
        <f>IF(KYN=1,0,ROUNDDOWN(G52*L52,0))</f>
        <v>777752</v>
      </c>
    </row>
    <row r="53" spans="2:13" ht="20" customHeight="1">
      <c r="B53" s="211" t="s">
        <v>593</v>
      </c>
      <c r="C53" s="155"/>
      <c r="D53" s="223">
        <f>E46</f>
        <v>2281788</v>
      </c>
      <c r="E53" s="405" t="s">
        <v>554</v>
      </c>
      <c r="F53" s="116">
        <f ca="1">販売量!S11</f>
        <v>6688.8866181818175</v>
      </c>
      <c r="G53" s="234">
        <f ca="1">IF(KYN=1,"-",ROUNDDOWN(D53/F53,2))</f>
        <v>341.13</v>
      </c>
      <c r="H53" s="235">
        <f t="shared" ref="H53:H55" ca="1" si="6">F53-(J53+L53)</f>
        <v>5934.8866181818175</v>
      </c>
      <c r="I53" s="117">
        <f t="shared" ref="I53:I55" ca="1" si="7">D53-(K53+M53)</f>
        <v>2024576</v>
      </c>
      <c r="J53" s="236">
        <f ca="1">ROUNDDOWN(販売量!S9,0)</f>
        <v>0</v>
      </c>
      <c r="K53" s="120">
        <f ca="1">IF(KYN=1,0,ROUNDDOWN(G53*J53,0))</f>
        <v>0</v>
      </c>
      <c r="L53" s="120">
        <f ca="1">ROUNDDOWN(販売量!S10,0)</f>
        <v>754</v>
      </c>
      <c r="M53" s="120">
        <f ca="1">IF(KYN=1,0,ROUNDDOWN(G53*L53,0))</f>
        <v>257212</v>
      </c>
    </row>
    <row r="54" spans="2:13" ht="20" customHeight="1">
      <c r="B54" s="211" t="s">
        <v>594</v>
      </c>
      <c r="C54" s="155"/>
      <c r="D54" s="223">
        <f>H46</f>
        <v>8647304</v>
      </c>
      <c r="E54" s="405" t="s">
        <v>555</v>
      </c>
      <c r="F54" s="116">
        <f>販売量!U11</f>
        <v>14610</v>
      </c>
      <c r="G54" s="234">
        <f>IF(KYN=1,"-",ROUNDDOWN(D54/F54,2))</f>
        <v>591.87</v>
      </c>
      <c r="H54" s="235">
        <f t="shared" si="6"/>
        <v>14490</v>
      </c>
      <c r="I54" s="117">
        <f t="shared" si="7"/>
        <v>8576280</v>
      </c>
      <c r="J54" s="236">
        <f>ROUNDDOWN(販売量!U9,0)</f>
        <v>0</v>
      </c>
      <c r="K54" s="120">
        <f>IF(KYN=1,0,ROUNDDOWN(G54*J54,0))</f>
        <v>0</v>
      </c>
      <c r="L54" s="120">
        <f>ROUNDDOWN(販売量!U10,0)</f>
        <v>120</v>
      </c>
      <c r="M54" s="120">
        <f>IF(KYN=1,0,ROUNDDOWN(G54*L54,0))</f>
        <v>71024</v>
      </c>
    </row>
    <row r="55" spans="2:13" ht="20" customHeight="1">
      <c r="B55" s="211" t="s">
        <v>559</v>
      </c>
      <c r="C55" s="155"/>
      <c r="D55" s="223">
        <f>K46</f>
        <v>7647368</v>
      </c>
      <c r="E55" s="405" t="s">
        <v>556</v>
      </c>
      <c r="F55" s="116">
        <f>販売量!R11</f>
        <v>5844</v>
      </c>
      <c r="G55" s="234">
        <f>IF(KYN=1,"-",ROUNDDOWN(D55/F55,2))</f>
        <v>1308.58</v>
      </c>
      <c r="H55" s="235">
        <f t="shared" si="6"/>
        <v>5796</v>
      </c>
      <c r="I55" s="117">
        <f t="shared" si="7"/>
        <v>7584557</v>
      </c>
      <c r="J55" s="236">
        <f>ROUNDDOWN(販売量!R9,0)</f>
        <v>0</v>
      </c>
      <c r="K55" s="120">
        <f>IF(KYN=1,0,ROUNDDOWN(G55*J55,0))</f>
        <v>0</v>
      </c>
      <c r="L55" s="120">
        <f>ROUNDDOWN(販売量!R10,0)</f>
        <v>48</v>
      </c>
      <c r="M55" s="120">
        <f>IF(KYN=1,0,ROUNDDOWN(G55*L55,0))</f>
        <v>62811</v>
      </c>
    </row>
    <row r="56" spans="2:13" ht="20" customHeight="1">
      <c r="B56" s="211" t="s">
        <v>339</v>
      </c>
      <c r="C56" s="155"/>
      <c r="D56" s="223">
        <f>SUM(D52:D55)</f>
        <v>31884164</v>
      </c>
      <c r="E56" s="110"/>
      <c r="F56" s="115">
        <f ca="1">SUM(F52:F55)</f>
        <v>78764.773236363631</v>
      </c>
      <c r="G56" s="110"/>
      <c r="H56" s="235"/>
      <c r="I56" s="117">
        <f ca="1">SUM(I52:I55)</f>
        <v>30715365</v>
      </c>
      <c r="J56" s="117"/>
      <c r="K56" s="120">
        <f ca="1">SUM(K52:K55)</f>
        <v>0</v>
      </c>
      <c r="L56" s="117"/>
      <c r="M56" s="120">
        <f ca="1">SUM(M52:M55)</f>
        <v>1168799</v>
      </c>
    </row>
    <row r="57" spans="2:13" ht="20" customHeight="1"/>
  </sheetData>
  <phoneticPr fontId="2"/>
  <pageMargins left="0.70866141732283472" right="0.70866141732283472" top="0.74803149606299213" bottom="0.74803149606299213" header="0.31496062992125984" footer="0.31496062992125984"/>
  <pageSetup paperSize="9" scale="64" fitToHeight="2" orientation="landscape" horizontalDpi="0" verticalDpi="0"/>
  <rowBreaks count="1" manualBreakCount="1">
    <brk id="26" max="1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033E6-3AA3-4241-A0BD-C272FFA2673C}">
  <sheetPr codeName="Sheet14">
    <tabColor rgb="FFFFC000"/>
    <pageSetUpPr autoPageBreaks="0" fitToPage="1"/>
  </sheetPr>
  <dimension ref="B1:I41"/>
  <sheetViews>
    <sheetView showGridLines="0" showRowColHeaders="0" zoomScaleNormal="100" workbookViewId="0"/>
  </sheetViews>
  <sheetFormatPr baseColWidth="10" defaultColWidth="7.7109375" defaultRowHeight="15"/>
  <cols>
    <col min="1" max="1" width="5" style="257" customWidth="1"/>
    <col min="2" max="4" width="5.5703125" style="257" customWidth="1"/>
    <col min="5" max="5" width="9.7109375" style="257" customWidth="1"/>
    <col min="6" max="9" width="13.5703125" style="257" customWidth="1"/>
    <col min="10" max="10" width="5" style="257" customWidth="1"/>
    <col min="11" max="16384" width="7.7109375" style="257"/>
  </cols>
  <sheetData>
    <row r="1" spans="2:9" ht="25" customHeight="1"/>
    <row r="2" spans="2:9" ht="21" customHeight="1">
      <c r="C2" s="266"/>
      <c r="D2" s="266"/>
      <c r="E2" s="266"/>
      <c r="F2" s="650" t="s">
        <v>706</v>
      </c>
      <c r="G2" s="650"/>
      <c r="H2" s="268"/>
      <c r="I2" s="404" t="str">
        <f>ナビ!C4</f>
        <v>　</v>
      </c>
    </row>
    <row r="3" spans="2:9" ht="21" customHeight="1">
      <c r="B3" s="266"/>
      <c r="C3" s="266"/>
      <c r="D3" s="266"/>
      <c r="E3" s="266"/>
      <c r="F3" s="267"/>
      <c r="G3" s="267"/>
      <c r="H3" s="268"/>
      <c r="I3" s="268"/>
    </row>
    <row r="4" spans="2:9" ht="21" customHeight="1" thickBot="1">
      <c r="C4" s="266"/>
      <c r="D4" s="266"/>
      <c r="E4" s="266"/>
      <c r="F4" s="261"/>
      <c r="G4" s="261"/>
      <c r="H4" s="268"/>
      <c r="I4" s="269" t="s">
        <v>664</v>
      </c>
    </row>
    <row r="5" spans="2:9" ht="21" customHeight="1">
      <c r="B5" s="676" t="s">
        <v>665</v>
      </c>
      <c r="C5" s="678" t="s">
        <v>666</v>
      </c>
      <c r="D5" s="679"/>
      <c r="E5" s="680"/>
      <c r="F5" s="684" t="s">
        <v>667</v>
      </c>
      <c r="G5" s="685"/>
      <c r="H5" s="686" t="s">
        <v>668</v>
      </c>
      <c r="I5" s="687"/>
    </row>
    <row r="6" spans="2:9" ht="21" customHeight="1">
      <c r="B6" s="677"/>
      <c r="C6" s="681"/>
      <c r="D6" s="682"/>
      <c r="E6" s="683"/>
      <c r="F6" s="270" t="s">
        <v>669</v>
      </c>
      <c r="G6" s="270" t="s">
        <v>670</v>
      </c>
      <c r="H6" s="270" t="s">
        <v>669</v>
      </c>
      <c r="I6" s="271" t="s">
        <v>671</v>
      </c>
    </row>
    <row r="7" spans="2:9" ht="21" customHeight="1">
      <c r="B7" s="272" t="s">
        <v>672</v>
      </c>
      <c r="C7" s="656" t="s">
        <v>724</v>
      </c>
      <c r="D7" s="657"/>
      <c r="E7" s="262">
        <f>レートメイク!D20</f>
        <v>8</v>
      </c>
      <c r="F7" s="273">
        <f>レートメイク!E20</f>
        <v>1200</v>
      </c>
      <c r="G7" s="273">
        <f>レートメイク!F20</f>
        <v>550</v>
      </c>
      <c r="H7" s="273">
        <f>レートメイク!L20</f>
        <v>1080</v>
      </c>
      <c r="I7" s="349">
        <f>レートメイク!M20</f>
        <v>493.04</v>
      </c>
    </row>
    <row r="8" spans="2:9" ht="21" customHeight="1">
      <c r="B8" s="274" t="s">
        <v>673</v>
      </c>
      <c r="C8" s="663">
        <f>レートメイク!C21</f>
        <v>8.1</v>
      </c>
      <c r="D8" s="664"/>
      <c r="E8" s="263">
        <f>レートメイク!D21</f>
        <v>30</v>
      </c>
      <c r="F8" s="273">
        <f>レートメイク!E21</f>
        <v>1800</v>
      </c>
      <c r="G8" s="273">
        <f>レートメイク!F21</f>
        <v>475</v>
      </c>
      <c r="H8" s="273">
        <f>レートメイク!L21</f>
        <v>1679.9999999999995</v>
      </c>
      <c r="I8" s="349">
        <f>レートメイク!M21</f>
        <v>418.04</v>
      </c>
    </row>
    <row r="9" spans="2:9" ht="21" customHeight="1" thickBot="1">
      <c r="B9" s="275" t="s">
        <v>674</v>
      </c>
      <c r="C9" s="665">
        <f>レートメイク!C22</f>
        <v>30.1</v>
      </c>
      <c r="D9" s="666"/>
      <c r="E9" s="667"/>
      <c r="F9" s="276">
        <f>レートメイク!E22</f>
        <v>4050</v>
      </c>
      <c r="G9" s="276">
        <f>レートメイク!F22</f>
        <v>400</v>
      </c>
      <c r="H9" s="276">
        <f>レートメイク!L22</f>
        <v>3930</v>
      </c>
      <c r="I9" s="350">
        <f>レートメイク!M22</f>
        <v>343.04</v>
      </c>
    </row>
    <row r="10" spans="2:9" ht="21" customHeight="1">
      <c r="B10" s="277"/>
      <c r="C10" s="264"/>
      <c r="D10" s="264"/>
      <c r="E10" s="264"/>
      <c r="F10" s="278"/>
      <c r="G10" s="278"/>
      <c r="H10" s="278"/>
      <c r="I10" s="278"/>
    </row>
    <row r="11" spans="2:9" ht="21" customHeight="1" thickBot="1"/>
    <row r="12" spans="2:9" ht="21" customHeight="1">
      <c r="B12" s="668" t="s">
        <v>675</v>
      </c>
      <c r="C12" s="671" t="s">
        <v>676</v>
      </c>
      <c r="D12" s="279"/>
      <c r="E12" s="674" t="s">
        <v>677</v>
      </c>
      <c r="F12" s="674"/>
      <c r="G12" s="674"/>
      <c r="H12" s="674"/>
      <c r="I12" s="280"/>
    </row>
    <row r="13" spans="2:9" ht="21" customHeight="1">
      <c r="B13" s="669"/>
      <c r="C13" s="672"/>
      <c r="D13" s="281"/>
      <c r="E13" s="675" t="s">
        <v>678</v>
      </c>
      <c r="F13" s="675"/>
      <c r="G13" s="675"/>
      <c r="H13" s="675"/>
      <c r="I13" s="282"/>
    </row>
    <row r="14" spans="2:9" ht="21" customHeight="1">
      <c r="B14" s="669"/>
      <c r="C14" s="673"/>
      <c r="D14" s="690">
        <f ca="1">'2_b'!B29</f>
        <v>30715365</v>
      </c>
      <c r="E14" s="691"/>
      <c r="F14" s="283" t="s">
        <v>679</v>
      </c>
      <c r="G14" s="284">
        <f>IF(HKS=1,'1_a'!H7,販売量!O8)</f>
        <v>48604.486618181822</v>
      </c>
      <c r="H14" s="283" t="s">
        <v>680</v>
      </c>
      <c r="I14" s="285">
        <f ca="1">+ROUND(+D14/G14,2)</f>
        <v>631.95000000000005</v>
      </c>
    </row>
    <row r="15" spans="2:9" ht="21" customHeight="1">
      <c r="B15" s="669"/>
      <c r="C15" s="688" t="s">
        <v>681</v>
      </c>
      <c r="D15" s="286"/>
      <c r="E15" s="689" t="s">
        <v>682</v>
      </c>
      <c r="F15" s="689"/>
      <c r="G15" s="689"/>
      <c r="H15" s="689"/>
      <c r="I15" s="287"/>
    </row>
    <row r="16" spans="2:9" ht="21" customHeight="1">
      <c r="B16" s="669"/>
      <c r="C16" s="672"/>
      <c r="D16" s="288"/>
      <c r="E16" s="675" t="s">
        <v>678</v>
      </c>
      <c r="F16" s="675"/>
      <c r="G16" s="675"/>
      <c r="H16" s="675"/>
      <c r="I16" s="282"/>
    </row>
    <row r="17" spans="2:9" ht="21" customHeight="1">
      <c r="B17" s="670"/>
      <c r="C17" s="673"/>
      <c r="D17" s="690">
        <f>I41</f>
        <v>27251333</v>
      </c>
      <c r="E17" s="691"/>
      <c r="F17" s="283" t="s">
        <v>679</v>
      </c>
      <c r="G17" s="284">
        <f>G14</f>
        <v>48604.486618181822</v>
      </c>
      <c r="H17" s="283" t="s">
        <v>680</v>
      </c>
      <c r="I17" s="285">
        <f>IF(D17="","",+ROUND(+D17/G17,2))</f>
        <v>560.67999999999995</v>
      </c>
    </row>
    <row r="18" spans="2:9" ht="21" customHeight="1">
      <c r="B18" s="658"/>
      <c r="C18" s="659"/>
      <c r="D18" s="290"/>
      <c r="E18" s="291" t="s">
        <v>683</v>
      </c>
      <c r="F18" s="660" t="s">
        <v>707</v>
      </c>
      <c r="G18" s="661" t="s">
        <v>708</v>
      </c>
      <c r="H18" s="292"/>
      <c r="I18" s="293"/>
    </row>
    <row r="19" spans="2:9" ht="21" customHeight="1">
      <c r="B19" s="644" t="s">
        <v>684</v>
      </c>
      <c r="C19" s="645"/>
      <c r="D19" s="266"/>
      <c r="E19" s="294" t="s">
        <v>685</v>
      </c>
      <c r="F19" s="647"/>
      <c r="G19" s="662"/>
      <c r="H19" s="266"/>
      <c r="I19" s="265"/>
    </row>
    <row r="20" spans="2:9" ht="21" customHeight="1">
      <c r="B20" s="644" t="s">
        <v>686</v>
      </c>
      <c r="C20" s="645"/>
      <c r="D20" s="646" t="s">
        <v>687</v>
      </c>
      <c r="E20" s="647"/>
      <c r="F20" s="296">
        <f ca="1">I14</f>
        <v>631.95000000000005</v>
      </c>
      <c r="G20" s="651" t="s">
        <v>709</v>
      </c>
      <c r="H20" s="647" t="s">
        <v>680</v>
      </c>
      <c r="I20" s="652">
        <f ca="1">IF(F21="","",ROUND(((F20/F21*100-100)/100),4))</f>
        <v>0.12709999999999999</v>
      </c>
    </row>
    <row r="21" spans="2:9" ht="21" customHeight="1" thickBot="1">
      <c r="B21" s="654"/>
      <c r="C21" s="655"/>
      <c r="D21" s="648"/>
      <c r="E21" s="649"/>
      <c r="F21" s="297">
        <f>I17</f>
        <v>560.67999999999995</v>
      </c>
      <c r="G21" s="649"/>
      <c r="H21" s="649"/>
      <c r="I21" s="653"/>
    </row>
    <row r="22" spans="2:9" ht="21" customHeight="1">
      <c r="B22" s="298"/>
      <c r="C22" s="267"/>
      <c r="D22" s="289"/>
      <c r="E22" s="289"/>
      <c r="F22" s="299"/>
      <c r="G22" s="289"/>
      <c r="H22" s="289"/>
      <c r="I22" s="300"/>
    </row>
    <row r="23" spans="2:9" ht="21" customHeight="1" thickBot="1">
      <c r="B23" s="301"/>
      <c r="C23" s="301"/>
      <c r="D23" s="301"/>
      <c r="E23" s="301"/>
      <c r="F23" s="301"/>
      <c r="G23" s="301"/>
      <c r="H23" s="301"/>
      <c r="I23" s="301"/>
    </row>
    <row r="24" spans="2:9" s="295" customFormat="1" ht="21" customHeight="1">
      <c r="B24" s="302" t="s">
        <v>688</v>
      </c>
      <c r="C24" s="303"/>
      <c r="D24" s="303"/>
      <c r="E24" s="304"/>
      <c r="F24" s="304"/>
      <c r="G24" s="303"/>
      <c r="H24" s="303"/>
      <c r="I24" s="305"/>
    </row>
    <row r="25" spans="2:9" s="295" customFormat="1" ht="21" customHeight="1">
      <c r="B25" s="306"/>
      <c r="C25" s="266" t="s">
        <v>689</v>
      </c>
      <c r="D25" s="307"/>
      <c r="E25" s="266"/>
      <c r="F25" s="266"/>
      <c r="G25" s="307"/>
      <c r="H25" s="307"/>
      <c r="I25" s="308"/>
    </row>
    <row r="26" spans="2:9" s="295" customFormat="1" ht="21" customHeight="1">
      <c r="B26" s="306"/>
      <c r="C26" s="307" t="s">
        <v>690</v>
      </c>
      <c r="D26" s="307"/>
      <c r="E26" s="307"/>
      <c r="F26" s="307"/>
      <c r="G26" s="307"/>
      <c r="H26" s="307"/>
      <c r="I26" s="308"/>
    </row>
    <row r="27" spans="2:9" s="295" customFormat="1" ht="21" customHeight="1">
      <c r="B27" s="306"/>
      <c r="C27" s="309" t="s">
        <v>691</v>
      </c>
      <c r="D27" s="307"/>
      <c r="E27" s="307"/>
      <c r="F27" s="307"/>
      <c r="G27" s="307"/>
      <c r="H27" s="307"/>
      <c r="I27" s="308"/>
    </row>
    <row r="28" spans="2:9" s="295" customFormat="1" ht="21" customHeight="1">
      <c r="B28" s="306"/>
      <c r="C28" s="310" t="s">
        <v>692</v>
      </c>
      <c r="D28" s="311"/>
      <c r="E28" s="312"/>
      <c r="F28" s="311"/>
      <c r="G28" s="311"/>
      <c r="H28" s="311"/>
      <c r="I28" s="313"/>
    </row>
    <row r="29" spans="2:9" s="295" customFormat="1" ht="21" customHeight="1">
      <c r="B29" s="306"/>
      <c r="C29" s="314"/>
      <c r="D29" s="266" t="s">
        <v>689</v>
      </c>
      <c r="E29" s="266"/>
      <c r="F29" s="307"/>
      <c r="G29" s="307"/>
      <c r="H29" s="307"/>
      <c r="I29" s="308"/>
    </row>
    <row r="30" spans="2:9" s="295" customFormat="1" ht="21" customHeight="1">
      <c r="B30" s="306"/>
      <c r="C30" s="314"/>
      <c r="D30" s="307" t="s">
        <v>693</v>
      </c>
      <c r="E30" s="307"/>
      <c r="F30" s="307"/>
      <c r="G30" s="307"/>
      <c r="H30" s="307"/>
      <c r="I30" s="308"/>
    </row>
    <row r="31" spans="2:9" s="295" customFormat="1" ht="21" customHeight="1">
      <c r="B31" s="306"/>
      <c r="C31" s="314"/>
      <c r="D31" s="309" t="s">
        <v>694</v>
      </c>
      <c r="E31" s="307"/>
      <c r="F31" s="307"/>
      <c r="G31" s="307"/>
      <c r="H31" s="307"/>
      <c r="I31" s="308"/>
    </row>
    <row r="32" spans="2:9" s="295" customFormat="1" ht="21" customHeight="1" thickBot="1">
      <c r="B32" s="315"/>
      <c r="C32" s="314"/>
      <c r="D32" s="309" t="s">
        <v>695</v>
      </c>
      <c r="E32" s="307"/>
      <c r="F32" s="307"/>
      <c r="G32" s="307"/>
      <c r="H32" s="307"/>
      <c r="I32" s="308"/>
    </row>
    <row r="33" spans="2:9" ht="21" customHeight="1">
      <c r="B33" s="635" t="s">
        <v>696</v>
      </c>
      <c r="C33" s="638" t="s">
        <v>697</v>
      </c>
      <c r="D33" s="316"/>
      <c r="E33" s="317" t="s">
        <v>698</v>
      </c>
      <c r="F33" s="317" t="s">
        <v>699</v>
      </c>
      <c r="G33" s="317" t="s">
        <v>700</v>
      </c>
      <c r="H33" s="318" t="s">
        <v>680</v>
      </c>
      <c r="I33" s="410" t="s">
        <v>701</v>
      </c>
    </row>
    <row r="34" spans="2:9" ht="21" customHeight="1">
      <c r="B34" s="636"/>
      <c r="C34" s="639"/>
      <c r="D34" s="319" t="s">
        <v>672</v>
      </c>
      <c r="E34" s="320">
        <f>レートメイク!L20</f>
        <v>1080</v>
      </c>
      <c r="F34" s="321" t="s">
        <v>699</v>
      </c>
      <c r="G34" s="322">
        <f>レートメイク!E11</f>
        <v>4927</v>
      </c>
      <c r="H34" s="290" t="s">
        <v>680</v>
      </c>
      <c r="I34" s="323">
        <f>IF(E34="","",ROUND(+E34*G34,0))</f>
        <v>5321160</v>
      </c>
    </row>
    <row r="35" spans="2:9" ht="21" customHeight="1">
      <c r="B35" s="636"/>
      <c r="C35" s="639"/>
      <c r="D35" s="319" t="s">
        <v>673</v>
      </c>
      <c r="E35" s="324">
        <f>レートメイク!L21</f>
        <v>1679.9999999999995</v>
      </c>
      <c r="F35" s="325" t="s">
        <v>699</v>
      </c>
      <c r="G35" s="326">
        <f>レートメイク!E12</f>
        <v>753</v>
      </c>
      <c r="H35" s="289" t="s">
        <v>680</v>
      </c>
      <c r="I35" s="327">
        <f>IF(E35="","",ROUND(+E35*G35,0))</f>
        <v>1265040</v>
      </c>
    </row>
    <row r="36" spans="2:9" ht="21" customHeight="1">
      <c r="B36" s="636"/>
      <c r="C36" s="640"/>
      <c r="D36" s="319" t="s">
        <v>674</v>
      </c>
      <c r="E36" s="328">
        <f>レートメイク!L22</f>
        <v>3930</v>
      </c>
      <c r="F36" s="329" t="s">
        <v>699</v>
      </c>
      <c r="G36" s="330">
        <f>レートメイク!E13</f>
        <v>116</v>
      </c>
      <c r="H36" s="331" t="s">
        <v>680</v>
      </c>
      <c r="I36" s="332">
        <f>IF(E36="","",ROUND(+E36*G36,0))</f>
        <v>455880</v>
      </c>
    </row>
    <row r="37" spans="2:9" ht="21" customHeight="1">
      <c r="B37" s="636"/>
      <c r="C37" s="641" t="s">
        <v>671</v>
      </c>
      <c r="D37" s="333"/>
      <c r="E37" s="321" t="s">
        <v>698</v>
      </c>
      <c r="F37" s="321" t="s">
        <v>699</v>
      </c>
      <c r="G37" s="321" t="s">
        <v>702</v>
      </c>
      <c r="H37" s="290" t="s">
        <v>680</v>
      </c>
      <c r="I37" s="411" t="s">
        <v>703</v>
      </c>
    </row>
    <row r="38" spans="2:9" ht="21" customHeight="1">
      <c r="B38" s="636"/>
      <c r="C38" s="642"/>
      <c r="D38" s="319" t="s">
        <v>672</v>
      </c>
      <c r="E38" s="334">
        <f>レートメイク!M20</f>
        <v>493.04</v>
      </c>
      <c r="F38" s="321" t="s">
        <v>699</v>
      </c>
      <c r="G38" s="322">
        <f>レートメイク!F11</f>
        <v>16525.486618181822</v>
      </c>
      <c r="H38" s="290" t="s">
        <v>680</v>
      </c>
      <c r="I38" s="323">
        <f>IF(E38="","",ROUND(+E38*G38,0))</f>
        <v>8147726</v>
      </c>
    </row>
    <row r="39" spans="2:9" ht="21" customHeight="1">
      <c r="B39" s="636"/>
      <c r="C39" s="642"/>
      <c r="D39" s="319" t="s">
        <v>673</v>
      </c>
      <c r="E39" s="335">
        <f>レートメイク!M21</f>
        <v>418.04</v>
      </c>
      <c r="F39" s="325" t="s">
        <v>699</v>
      </c>
      <c r="G39" s="326">
        <f>レートメイク!F12</f>
        <v>14095.3</v>
      </c>
      <c r="H39" s="289" t="s">
        <v>680</v>
      </c>
      <c r="I39" s="327">
        <f>IF(E39="","",ROUND(+E39*G39,0))</f>
        <v>5892399</v>
      </c>
    </row>
    <row r="40" spans="2:9" ht="21" customHeight="1">
      <c r="B40" s="636"/>
      <c r="C40" s="643"/>
      <c r="D40" s="336" t="s">
        <v>674</v>
      </c>
      <c r="E40" s="337">
        <f>レートメイク!M22</f>
        <v>343.04</v>
      </c>
      <c r="F40" s="329" t="s">
        <v>699</v>
      </c>
      <c r="G40" s="330">
        <f>レートメイク!F13</f>
        <v>17983.7</v>
      </c>
      <c r="H40" s="331" t="s">
        <v>680</v>
      </c>
      <c r="I40" s="332">
        <f>IF(E40="","",ROUND(+E40*G40,0))</f>
        <v>6169128</v>
      </c>
    </row>
    <row r="41" spans="2:9" ht="21" customHeight="1" thickBot="1">
      <c r="B41" s="637"/>
      <c r="C41" s="338"/>
      <c r="D41" s="338"/>
      <c r="E41" s="339" t="s">
        <v>704</v>
      </c>
      <c r="F41" s="340"/>
      <c r="G41" s="339" t="s">
        <v>705</v>
      </c>
      <c r="H41" s="341"/>
      <c r="I41" s="342">
        <f>SUM(I34:I40)</f>
        <v>27251333</v>
      </c>
    </row>
  </sheetData>
  <mergeCells count="30">
    <mergeCell ref="B5:B6"/>
    <mergeCell ref="C5:E6"/>
    <mergeCell ref="F5:G5"/>
    <mergeCell ref="H5:I5"/>
    <mergeCell ref="C15:C17"/>
    <mergeCell ref="E15:H15"/>
    <mergeCell ref="E16:H16"/>
    <mergeCell ref="D17:E17"/>
    <mergeCell ref="D14:E14"/>
    <mergeCell ref="F2:G2"/>
    <mergeCell ref="G20:G21"/>
    <mergeCell ref="H20:H21"/>
    <mergeCell ref="I20:I21"/>
    <mergeCell ref="B21:C21"/>
    <mergeCell ref="C7:D7"/>
    <mergeCell ref="B18:C18"/>
    <mergeCell ref="F18:F19"/>
    <mergeCell ref="G18:G19"/>
    <mergeCell ref="B19:C19"/>
    <mergeCell ref="C8:D8"/>
    <mergeCell ref="C9:E9"/>
    <mergeCell ref="B12:B17"/>
    <mergeCell ref="C12:C14"/>
    <mergeCell ref="E12:H12"/>
    <mergeCell ref="E13:H13"/>
    <mergeCell ref="B33:B41"/>
    <mergeCell ref="C33:C36"/>
    <mergeCell ref="C37:C40"/>
    <mergeCell ref="B20:C20"/>
    <mergeCell ref="D20:E21"/>
  </mergeCells>
  <phoneticPr fontId="2"/>
  <pageMargins left="0.8" right="0.39" top="1" bottom="1" header="0.51200000000000001" footer="0.51200000000000001"/>
  <pageSetup paperSize="9" scale="97" fitToHeight="2"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FA41A-54BA-A94F-8906-6812493BEE60}">
  <sheetPr codeName="Sheet8">
    <tabColor rgb="FFFF2F92"/>
    <pageSetUpPr fitToPage="1"/>
  </sheetPr>
  <dimension ref="B1:M43"/>
  <sheetViews>
    <sheetView showGridLines="0" showRowColHeaders="0" zoomScale="130" zoomScaleNormal="130" workbookViewId="0">
      <selection activeCell="G38" sqref="G38"/>
    </sheetView>
  </sheetViews>
  <sheetFormatPr baseColWidth="10" defaultColWidth="10.7109375" defaultRowHeight="16"/>
  <cols>
    <col min="1" max="1" width="5" style="351" customWidth="1"/>
    <col min="2" max="2" width="10.7109375" style="351"/>
    <col min="3" max="6" width="13.42578125" style="351" customWidth="1"/>
    <col min="7" max="7" width="5.140625" style="351" customWidth="1"/>
    <col min="8" max="8" width="4.5703125" style="351" customWidth="1"/>
    <col min="9" max="9" width="11" style="351" customWidth="1"/>
    <col min="10" max="13" width="13.42578125" style="351" customWidth="1"/>
    <col min="14" max="14" width="4.85546875" style="351" customWidth="1"/>
    <col min="15" max="16384" width="10.7109375" style="351"/>
  </cols>
  <sheetData>
    <row r="1" spans="2:7" ht="25" customHeight="1">
      <c r="G1" s="400" t="str">
        <f>ナビ!C4</f>
        <v>　</v>
      </c>
    </row>
    <row r="2" spans="2:7" ht="20" customHeight="1">
      <c r="B2" s="351" t="s">
        <v>629</v>
      </c>
    </row>
    <row r="3" spans="2:7" ht="20" customHeight="1"/>
    <row r="4" spans="2:7" ht="20" customHeight="1">
      <c r="B4" s="443" t="s">
        <v>533</v>
      </c>
      <c r="C4" s="443"/>
      <c r="D4" s="352">
        <f ca="1">'2_b'!B29</f>
        <v>30715365</v>
      </c>
    </row>
    <row r="5" spans="2:7" ht="20" customHeight="1">
      <c r="B5" s="443" t="s">
        <v>541</v>
      </c>
      <c r="C5" s="443"/>
      <c r="D5" s="353">
        <f>IF(HKS=1,'1_a'!F7*12,販売量!R8)</f>
        <v>5796</v>
      </c>
    </row>
    <row r="6" spans="2:7" ht="20" customHeight="1">
      <c r="B6" s="443" t="s">
        <v>505</v>
      </c>
      <c r="C6" s="443"/>
      <c r="D6" s="354">
        <f>IF(HKS=1,'1_a'!H7,販売量!O8)</f>
        <v>48604.486618181822</v>
      </c>
    </row>
    <row r="7" spans="2:7" ht="20" customHeight="1">
      <c r="B7" s="443" t="s">
        <v>546</v>
      </c>
      <c r="C7" s="443"/>
      <c r="D7" s="355">
        <f>D6/D5</f>
        <v>8.3858672564150822</v>
      </c>
    </row>
    <row r="8" spans="2:7" ht="20" customHeight="1"/>
    <row r="9" spans="2:7" ht="20" customHeight="1">
      <c r="B9" s="356" t="s">
        <v>534</v>
      </c>
      <c r="C9" s="357"/>
      <c r="D9" s="347"/>
      <c r="E9" s="356" t="s">
        <v>542</v>
      </c>
      <c r="F9" s="347"/>
    </row>
    <row r="10" spans="2:7" ht="20" customHeight="1">
      <c r="B10" s="348" t="s">
        <v>298</v>
      </c>
      <c r="C10" s="358" t="s">
        <v>299</v>
      </c>
      <c r="D10" s="358" t="s">
        <v>547</v>
      </c>
      <c r="E10" s="358" t="s">
        <v>548</v>
      </c>
      <c r="F10" s="358" t="s">
        <v>550</v>
      </c>
      <c r="G10" s="359"/>
    </row>
    <row r="11" spans="2:7" ht="20" customHeight="1">
      <c r="B11" s="348" t="s">
        <v>303</v>
      </c>
      <c r="C11" s="360">
        <v>0.85</v>
      </c>
      <c r="D11" s="360">
        <v>0.34</v>
      </c>
      <c r="E11" s="361">
        <f>D5-SUM(E12:E13)</f>
        <v>4927</v>
      </c>
      <c r="F11" s="362">
        <f>D6-SUM(F12:F13)</f>
        <v>16525.486618181822</v>
      </c>
      <c r="G11" s="363"/>
    </row>
    <row r="12" spans="2:7" ht="20" customHeight="1">
      <c r="B12" s="348" t="s">
        <v>304</v>
      </c>
      <c r="C12" s="360">
        <v>0.13</v>
      </c>
      <c r="D12" s="360">
        <v>0.28999999999999998</v>
      </c>
      <c r="E12" s="364">
        <f>ROUND($D$5*C12,0)</f>
        <v>753</v>
      </c>
      <c r="F12" s="362">
        <f>ROUND($D$6*D12,1)</f>
        <v>14095.3</v>
      </c>
      <c r="G12" s="363"/>
    </row>
    <row r="13" spans="2:7" ht="20" customHeight="1">
      <c r="B13" s="348" t="s">
        <v>305</v>
      </c>
      <c r="C13" s="360">
        <v>0.02</v>
      </c>
      <c r="D13" s="360">
        <v>0.37</v>
      </c>
      <c r="E13" s="364">
        <f>ROUND($D$5*C13,0)</f>
        <v>116</v>
      </c>
      <c r="F13" s="362">
        <f>ROUND($D$6*D13,1)</f>
        <v>17983.7</v>
      </c>
      <c r="G13" s="363"/>
    </row>
    <row r="14" spans="2:7" ht="20" customHeight="1">
      <c r="E14" s="364">
        <f>SUM(E11:E13)</f>
        <v>5796</v>
      </c>
      <c r="F14" s="365">
        <f>SUM(F11:F13)</f>
        <v>48604.486618181822</v>
      </c>
      <c r="G14" s="366"/>
    </row>
    <row r="15" spans="2:7" ht="20" customHeight="1"/>
    <row r="16" spans="2:7" ht="20" customHeight="1"/>
    <row r="17" spans="2:13" ht="20" customHeight="1">
      <c r="B17" s="367" t="s">
        <v>710</v>
      </c>
      <c r="C17" s="367"/>
      <c r="I17" s="367" t="s">
        <v>711</v>
      </c>
    </row>
    <row r="18" spans="2:13" ht="20" customHeight="1">
      <c r="B18" s="367"/>
      <c r="C18" s="367"/>
    </row>
    <row r="19" spans="2:13" ht="20" customHeight="1">
      <c r="B19" s="368"/>
      <c r="C19" s="368" t="s">
        <v>538</v>
      </c>
      <c r="D19" s="368" t="s">
        <v>539</v>
      </c>
      <c r="E19" s="369" t="s">
        <v>540</v>
      </c>
      <c r="F19" s="368" t="s">
        <v>725</v>
      </c>
      <c r="G19" s="367"/>
      <c r="I19" s="368"/>
      <c r="J19" s="368" t="s">
        <v>538</v>
      </c>
      <c r="K19" s="368" t="s">
        <v>539</v>
      </c>
      <c r="L19" s="369" t="s">
        <v>540</v>
      </c>
      <c r="M19" s="368" t="s">
        <v>726</v>
      </c>
    </row>
    <row r="20" spans="2:13" ht="20" customHeight="1">
      <c r="B20" s="370" t="s">
        <v>535</v>
      </c>
      <c r="C20" s="371">
        <v>0</v>
      </c>
      <c r="D20" s="372">
        <v>8</v>
      </c>
      <c r="E20" s="373">
        <v>1200</v>
      </c>
      <c r="F20" s="373">
        <v>550</v>
      </c>
      <c r="G20" s="374"/>
      <c r="I20" s="370" t="s">
        <v>535</v>
      </c>
      <c r="J20" s="371">
        <v>0</v>
      </c>
      <c r="K20" s="372">
        <v>8</v>
      </c>
      <c r="L20" s="373">
        <v>1080</v>
      </c>
      <c r="M20" s="373">
        <v>493.04</v>
      </c>
    </row>
    <row r="21" spans="2:13" ht="20" customHeight="1">
      <c r="B21" s="370" t="s">
        <v>536</v>
      </c>
      <c r="C21" s="371">
        <f>D20+0.1</f>
        <v>8.1</v>
      </c>
      <c r="D21" s="372">
        <v>30</v>
      </c>
      <c r="E21" s="375">
        <f>E20+D20*F20-D20*F21</f>
        <v>1800</v>
      </c>
      <c r="F21" s="373">
        <v>475</v>
      </c>
      <c r="G21" s="374"/>
      <c r="I21" s="370" t="s">
        <v>536</v>
      </c>
      <c r="J21" s="371">
        <f>K20+0.1</f>
        <v>8.1</v>
      </c>
      <c r="K21" s="372">
        <v>30</v>
      </c>
      <c r="L21" s="375">
        <f>L20+K20*M20-K20*M21</f>
        <v>1679.9999999999995</v>
      </c>
      <c r="M21" s="373">
        <v>418.04</v>
      </c>
    </row>
    <row r="22" spans="2:13" ht="20" customHeight="1">
      <c r="B22" s="370" t="s">
        <v>537</v>
      </c>
      <c r="C22" s="371">
        <f>D21+0.1</f>
        <v>30.1</v>
      </c>
      <c r="D22" s="372">
        <v>999999</v>
      </c>
      <c r="E22" s="375">
        <f>E21+D21*F21-D21*F22</f>
        <v>4050</v>
      </c>
      <c r="F22" s="373">
        <v>400</v>
      </c>
      <c r="G22" s="374"/>
      <c r="I22" s="370" t="s">
        <v>537</v>
      </c>
      <c r="J22" s="371">
        <f>K21+0.1</f>
        <v>30.1</v>
      </c>
      <c r="K22" s="372">
        <v>999999</v>
      </c>
      <c r="L22" s="375">
        <f>L21+K21*M21-K21*M22</f>
        <v>3930</v>
      </c>
      <c r="M22" s="373">
        <v>343.04</v>
      </c>
    </row>
    <row r="23" spans="2:13" ht="20" customHeight="1"/>
    <row r="24" spans="2:13" ht="20" customHeight="1">
      <c r="B24" s="351" t="s">
        <v>543</v>
      </c>
      <c r="I24" s="351" t="s">
        <v>543</v>
      </c>
    </row>
    <row r="25" spans="2:13" ht="20" customHeight="1">
      <c r="B25" s="348" t="s">
        <v>298</v>
      </c>
      <c r="C25" s="348" t="s">
        <v>544</v>
      </c>
      <c r="D25" s="348" t="s">
        <v>545</v>
      </c>
      <c r="E25" s="348" t="s">
        <v>339</v>
      </c>
      <c r="I25" s="348" t="s">
        <v>298</v>
      </c>
      <c r="J25" s="348" t="s">
        <v>544</v>
      </c>
      <c r="K25" s="348" t="s">
        <v>545</v>
      </c>
      <c r="L25" s="348" t="s">
        <v>339</v>
      </c>
    </row>
    <row r="26" spans="2:13" ht="20" customHeight="1">
      <c r="B26" s="348" t="s">
        <v>303</v>
      </c>
      <c r="C26" s="361">
        <f t="shared" ref="C26:D28" si="0">E11*E20</f>
        <v>5912400</v>
      </c>
      <c r="D26" s="364">
        <f t="shared" si="0"/>
        <v>9089017.6400000025</v>
      </c>
      <c r="E26" s="361">
        <f>SUM(C26:D26)</f>
        <v>15001417.640000002</v>
      </c>
      <c r="I26" s="348" t="s">
        <v>303</v>
      </c>
      <c r="J26" s="361">
        <f t="shared" ref="J26:K28" si="1">E11*L20</f>
        <v>5321160</v>
      </c>
      <c r="K26" s="364">
        <f t="shared" si="1"/>
        <v>8147725.9222283652</v>
      </c>
      <c r="L26" s="361">
        <f>SUM(J26:K26)</f>
        <v>13468885.922228366</v>
      </c>
    </row>
    <row r="27" spans="2:13" ht="20" customHeight="1">
      <c r="B27" s="348" t="s">
        <v>304</v>
      </c>
      <c r="C27" s="361">
        <f t="shared" si="0"/>
        <v>1355400</v>
      </c>
      <c r="D27" s="364">
        <f t="shared" si="0"/>
        <v>6695267.5</v>
      </c>
      <c r="E27" s="361">
        <f t="shared" ref="E27:E29" si="2">SUM(C27:D27)</f>
        <v>8050667.5</v>
      </c>
      <c r="I27" s="348" t="s">
        <v>304</v>
      </c>
      <c r="J27" s="361">
        <f t="shared" si="1"/>
        <v>1265039.9999999998</v>
      </c>
      <c r="K27" s="364">
        <f t="shared" si="1"/>
        <v>5892399.2120000003</v>
      </c>
      <c r="L27" s="361">
        <f t="shared" ref="L27:L29" si="3">SUM(J27:K27)</f>
        <v>7157439.2120000003</v>
      </c>
    </row>
    <row r="28" spans="2:13" ht="20" customHeight="1">
      <c r="B28" s="348" t="s">
        <v>305</v>
      </c>
      <c r="C28" s="361">
        <f>E13*E22</f>
        <v>469800</v>
      </c>
      <c r="D28" s="364">
        <f t="shared" si="0"/>
        <v>7193480</v>
      </c>
      <c r="E28" s="361">
        <f t="shared" si="2"/>
        <v>7663280</v>
      </c>
      <c r="I28" s="348" t="s">
        <v>305</v>
      </c>
      <c r="J28" s="361">
        <f t="shared" si="1"/>
        <v>455880</v>
      </c>
      <c r="K28" s="364">
        <f t="shared" si="1"/>
        <v>6169128.4480000008</v>
      </c>
      <c r="L28" s="361">
        <f t="shared" si="3"/>
        <v>6625008.4480000008</v>
      </c>
    </row>
    <row r="29" spans="2:13" ht="20" customHeight="1">
      <c r="B29" s="348" t="s">
        <v>339</v>
      </c>
      <c r="C29" s="361">
        <f>SUM(C26:C28)</f>
        <v>7737600</v>
      </c>
      <c r="D29" s="364">
        <f>SUM(D26:D28)</f>
        <v>22977765.140000001</v>
      </c>
      <c r="E29" s="361">
        <f t="shared" si="2"/>
        <v>30715365.140000001</v>
      </c>
      <c r="F29" s="376"/>
      <c r="G29" s="376"/>
      <c r="I29" s="348" t="s">
        <v>339</v>
      </c>
      <c r="J29" s="361">
        <f>SUM(J26:J28)</f>
        <v>7042080</v>
      </c>
      <c r="K29" s="364">
        <f>SUM(K26:K28)</f>
        <v>20209253.582228366</v>
      </c>
      <c r="L29" s="361">
        <f t="shared" si="3"/>
        <v>27251333.582228366</v>
      </c>
      <c r="M29" s="376"/>
    </row>
    <row r="30" spans="2:13" ht="20" customHeight="1">
      <c r="D30" s="348" t="s">
        <v>630</v>
      </c>
      <c r="E30" s="361">
        <f ca="1">E29-D4</f>
        <v>0.14000000059604645</v>
      </c>
      <c r="L30" s="361">
        <f ca="1">L29-D4</f>
        <v>-3464031.4177716337</v>
      </c>
    </row>
    <row r="31" spans="2:13" ht="25" customHeight="1"/>
    <row r="32" spans="2:13" ht="20" customHeight="1"/>
    <row r="33" spans="2:5" ht="20" customHeight="1">
      <c r="C33" s="377"/>
      <c r="D33" s="377"/>
      <c r="E33" s="377"/>
    </row>
    <row r="34" spans="2:5" ht="20" customHeight="1">
      <c r="B34" s="377"/>
      <c r="C34" s="377"/>
      <c r="D34" s="377"/>
      <c r="E34" s="377"/>
    </row>
    <row r="35" spans="2:5" ht="20" customHeight="1"/>
    <row r="36" spans="2:5" ht="20" customHeight="1"/>
    <row r="37" spans="2:5" ht="20" customHeight="1"/>
    <row r="38" spans="2:5" ht="20" customHeight="1"/>
    <row r="39" spans="2:5" ht="20" customHeight="1"/>
    <row r="40" spans="2:5" ht="20" customHeight="1"/>
    <row r="41" spans="2:5" ht="20" customHeight="1"/>
    <row r="42" spans="2:5" ht="20" customHeight="1"/>
    <row r="43" spans="2:5" ht="20" customHeight="1"/>
  </sheetData>
  <mergeCells count="4">
    <mergeCell ref="B4:C4"/>
    <mergeCell ref="B5:C5"/>
    <mergeCell ref="B6:C6"/>
    <mergeCell ref="B7:C7"/>
  </mergeCells>
  <phoneticPr fontId="2"/>
  <pageMargins left="0.70866141732283472" right="0.70866141732283472" top="0.74803149606299213" bottom="0.74803149606299213" header="0.31496062992125984" footer="0.31496062992125984"/>
  <pageSetup paperSize="9" orientation="portrait" horizontalDpi="0" verticalDpi="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00FC7-F9E8-AE47-ACC2-25EF3D0B9026}">
  <sheetPr codeName="Sheet12">
    <tabColor theme="9" tint="0.39997558519241921"/>
    <pageSetUpPr fitToPage="1"/>
  </sheetPr>
  <dimension ref="B1:U15"/>
  <sheetViews>
    <sheetView showGridLines="0" showRowColHeaders="0" topLeftCell="B1" zoomScale="110" zoomScaleNormal="110" workbookViewId="0">
      <selection activeCell="C6" sqref="C6"/>
    </sheetView>
  </sheetViews>
  <sheetFormatPr baseColWidth="10" defaultColWidth="10.7109375" defaultRowHeight="15"/>
  <cols>
    <col min="1" max="1" width="5" style="97" customWidth="1"/>
    <col min="2" max="2" width="16.140625" style="97" customWidth="1"/>
    <col min="3" max="14" width="10.28515625" style="97" customWidth="1"/>
    <col min="15" max="15" width="12" style="97" bestFit="1" customWidth="1"/>
    <col min="16" max="16" width="10.28515625" style="97" customWidth="1"/>
    <col min="17" max="21" width="10.7109375" style="97"/>
    <col min="22" max="22" width="5" style="97" customWidth="1"/>
    <col min="23" max="16384" width="10.7109375" style="97"/>
  </cols>
  <sheetData>
    <row r="1" spans="2:21" ht="25" customHeight="1">
      <c r="U1" s="400" t="str">
        <f>ナビ!C4</f>
        <v>　</v>
      </c>
    </row>
    <row r="2" spans="2:21" ht="38" customHeight="1">
      <c r="B2" s="97" t="s">
        <v>348</v>
      </c>
    </row>
    <row r="3" spans="2:21" ht="38" customHeight="1">
      <c r="B3" s="233" t="s">
        <v>647</v>
      </c>
    </row>
    <row r="4" spans="2:21" ht="31" customHeight="1">
      <c r="B4" s="110" t="s">
        <v>645</v>
      </c>
      <c r="C4" s="112">
        <v>0</v>
      </c>
      <c r="D4" s="405" t="s">
        <v>347</v>
      </c>
    </row>
    <row r="5" spans="2:21" ht="31" customHeight="1">
      <c r="B5" s="110" t="s">
        <v>646</v>
      </c>
      <c r="C5" s="112">
        <v>0</v>
      </c>
      <c r="D5" s="405" t="s">
        <v>347</v>
      </c>
    </row>
    <row r="6" spans="2:21" ht="38" customHeight="1">
      <c r="O6" s="99"/>
      <c r="S6" s="231">
        <f ca="1">OFFSET(INDEX(C11:N11, 1, MATCH(MAX(C11:N11), C11:N11, 0)), -4, 0)</f>
        <v>12</v>
      </c>
    </row>
    <row r="7" spans="2:21" s="98" customFormat="1" ht="50" customHeight="1">
      <c r="B7" s="104" t="s">
        <v>643</v>
      </c>
      <c r="C7" s="104">
        <v>1</v>
      </c>
      <c r="D7" s="104">
        <v>2</v>
      </c>
      <c r="E7" s="104">
        <v>3</v>
      </c>
      <c r="F7" s="104">
        <v>4</v>
      </c>
      <c r="G7" s="104">
        <v>5</v>
      </c>
      <c r="H7" s="104">
        <v>6</v>
      </c>
      <c r="I7" s="104">
        <v>7</v>
      </c>
      <c r="J7" s="104">
        <v>8</v>
      </c>
      <c r="K7" s="104">
        <v>9</v>
      </c>
      <c r="L7" s="104">
        <v>10</v>
      </c>
      <c r="M7" s="104">
        <v>11</v>
      </c>
      <c r="N7" s="104">
        <v>12</v>
      </c>
      <c r="O7" s="104" t="s">
        <v>339</v>
      </c>
      <c r="P7" s="412" t="s">
        <v>345</v>
      </c>
      <c r="Q7" s="412" t="s">
        <v>341</v>
      </c>
      <c r="R7" s="412" t="s">
        <v>342</v>
      </c>
      <c r="S7" s="412" t="s">
        <v>343</v>
      </c>
      <c r="T7" s="412" t="s">
        <v>346</v>
      </c>
      <c r="U7" s="412" t="s">
        <v>344</v>
      </c>
    </row>
    <row r="8" spans="2:21" ht="38" customHeight="1">
      <c r="B8" s="110" t="s">
        <v>338</v>
      </c>
      <c r="C8" s="141">
        <v>4620</v>
      </c>
      <c r="D8" s="141">
        <v>4525</v>
      </c>
      <c r="E8" s="141">
        <v>4325</v>
      </c>
      <c r="F8" s="141">
        <v>3725</v>
      </c>
      <c r="G8" s="141">
        <v>3525</v>
      </c>
      <c r="H8" s="141">
        <v>3425</v>
      </c>
      <c r="I8" s="141">
        <v>3425</v>
      </c>
      <c r="J8" s="141">
        <v>3425</v>
      </c>
      <c r="K8" s="141">
        <v>3525</v>
      </c>
      <c r="L8" s="141">
        <v>3825</v>
      </c>
      <c r="M8" s="141">
        <v>4325</v>
      </c>
      <c r="N8" s="141">
        <v>5934.4866181818179</v>
      </c>
      <c r="O8" s="115">
        <f>SUM(C8:N8)</f>
        <v>48604.486618181822</v>
      </c>
      <c r="P8" s="111">
        <f>IFERROR(O8/R8,0)</f>
        <v>8.3858672564150822</v>
      </c>
      <c r="Q8" s="114">
        <v>483</v>
      </c>
      <c r="R8" s="108">
        <f>Q8*12</f>
        <v>5796</v>
      </c>
      <c r="S8" s="116">
        <f ca="1">OFFSET(INDEX(C11:N11, 1, MATCH(MAX(C11:N11), C11:N11, 0)), -3, 0)</f>
        <v>5934.4866181818179</v>
      </c>
      <c r="T8" s="141">
        <v>2.5</v>
      </c>
      <c r="U8" s="116">
        <f>R8*T8</f>
        <v>14490</v>
      </c>
    </row>
    <row r="9" spans="2:21" ht="38" customHeight="1">
      <c r="B9" s="110" t="s">
        <v>642</v>
      </c>
      <c r="C9" s="141">
        <v>0</v>
      </c>
      <c r="D9" s="141">
        <v>0</v>
      </c>
      <c r="E9" s="141">
        <v>0</v>
      </c>
      <c r="F9" s="141">
        <v>0</v>
      </c>
      <c r="G9" s="141">
        <v>0</v>
      </c>
      <c r="H9" s="141">
        <v>0</v>
      </c>
      <c r="I9" s="141">
        <v>0</v>
      </c>
      <c r="J9" s="141">
        <v>0</v>
      </c>
      <c r="K9" s="141">
        <v>0</v>
      </c>
      <c r="L9" s="141">
        <v>0</v>
      </c>
      <c r="M9" s="141">
        <v>0</v>
      </c>
      <c r="N9" s="141">
        <v>0</v>
      </c>
      <c r="O9" s="115">
        <f>SUM(C9:N9)</f>
        <v>0</v>
      </c>
      <c r="P9" s="111">
        <f>IFERROR(O9/R9,0)</f>
        <v>0</v>
      </c>
      <c r="Q9" s="114">
        <v>0</v>
      </c>
      <c r="R9" s="108">
        <f>Q9*12</f>
        <v>0</v>
      </c>
      <c r="S9" s="116">
        <f ca="1">OFFSET(INDEX(C11:N11, 1, MATCH(MAX(C11:N11), C11:N11, 0)), -2, 0)</f>
        <v>0</v>
      </c>
      <c r="T9" s="141">
        <v>2.5</v>
      </c>
      <c r="U9" s="116">
        <f>R9*T9</f>
        <v>0</v>
      </c>
    </row>
    <row r="10" spans="2:21" ht="38" customHeight="1">
      <c r="B10" s="110" t="s">
        <v>641</v>
      </c>
      <c r="C10" s="141">
        <v>100.1</v>
      </c>
      <c r="D10" s="141">
        <v>124</v>
      </c>
      <c r="E10" s="141">
        <v>42.3</v>
      </c>
      <c r="F10" s="141">
        <v>24</v>
      </c>
      <c r="G10" s="141">
        <v>16.5</v>
      </c>
      <c r="H10" s="141">
        <v>15.2</v>
      </c>
      <c r="I10" s="141">
        <v>35.6</v>
      </c>
      <c r="J10" s="141">
        <v>167.1</v>
      </c>
      <c r="K10" s="141">
        <v>307.5</v>
      </c>
      <c r="L10" s="141">
        <v>715.4</v>
      </c>
      <c r="M10" s="141">
        <v>715.3</v>
      </c>
      <c r="N10" s="141">
        <v>754.4</v>
      </c>
      <c r="O10" s="115">
        <f>SUM(C10:N10)</f>
        <v>3017.4</v>
      </c>
      <c r="P10" s="111">
        <f>IFERROR(O10/R10,0)</f>
        <v>62.862500000000004</v>
      </c>
      <c r="Q10" s="114">
        <v>4</v>
      </c>
      <c r="R10" s="108">
        <f>Q10*12</f>
        <v>48</v>
      </c>
      <c r="S10" s="116">
        <f ca="1">OFFSET(INDEX(C11:N11, 1, MATCH(MAX(C11:N11), C11:N11, 0)), -1, 0)</f>
        <v>754.4</v>
      </c>
      <c r="T10" s="141">
        <v>2.5</v>
      </c>
      <c r="U10" s="116">
        <f>R10*T10</f>
        <v>120</v>
      </c>
    </row>
    <row r="11" spans="2:21" ht="38" customHeight="1">
      <c r="B11" s="110"/>
      <c r="C11" s="115">
        <f>SUM(C8:C10)</f>
        <v>4720.1000000000004</v>
      </c>
      <c r="D11" s="115">
        <f t="shared" ref="D11:O11" si="0">SUM(D8:D10)</f>
        <v>4649</v>
      </c>
      <c r="E11" s="115">
        <f t="shared" si="0"/>
        <v>4367.3</v>
      </c>
      <c r="F11" s="115">
        <f t="shared" si="0"/>
        <v>3749</v>
      </c>
      <c r="G11" s="115">
        <f t="shared" si="0"/>
        <v>3541.5</v>
      </c>
      <c r="H11" s="115">
        <f t="shared" si="0"/>
        <v>3440.2</v>
      </c>
      <c r="I11" s="115">
        <f>SUM(I8:I10)</f>
        <v>3460.6</v>
      </c>
      <c r="J11" s="115">
        <f t="shared" si="0"/>
        <v>3592.1</v>
      </c>
      <c r="K11" s="115">
        <f t="shared" si="0"/>
        <v>3832.5</v>
      </c>
      <c r="L11" s="115">
        <f t="shared" si="0"/>
        <v>4540.3999999999996</v>
      </c>
      <c r="M11" s="115">
        <f t="shared" si="0"/>
        <v>5040.3</v>
      </c>
      <c r="N11" s="115">
        <f>SUM(N8:N10)</f>
        <v>6688.8866181818175</v>
      </c>
      <c r="O11" s="115">
        <f t="shared" si="0"/>
        <v>51621.886618181823</v>
      </c>
      <c r="P11" s="193">
        <f>IFERROR(ROUNDDOWN(O11/R11,3),0)</f>
        <v>8.8330000000000002</v>
      </c>
      <c r="Q11" s="108">
        <f>IF(SUM(Q8:Q10)=ナビ!D11,SUM(Q8:Q10),"需要家数相違")</f>
        <v>487</v>
      </c>
      <c r="R11" s="117">
        <f>SUM(R8:R10)</f>
        <v>5844</v>
      </c>
      <c r="S11" s="115">
        <f ca="1">SUM(S8:S10)</f>
        <v>6688.8866181818175</v>
      </c>
      <c r="T11" s="110"/>
      <c r="U11" s="115">
        <f>SUM(U8:U10)</f>
        <v>14610</v>
      </c>
    </row>
    <row r="12" spans="2:21" ht="25" customHeight="1">
      <c r="C12" s="98"/>
      <c r="D12" s="98"/>
      <c r="E12" s="98"/>
      <c r="F12" s="98"/>
      <c r="G12" s="98"/>
      <c r="H12" s="98"/>
      <c r="I12" s="98"/>
      <c r="J12" s="98"/>
      <c r="K12" s="98"/>
      <c r="L12" s="98"/>
      <c r="M12" s="98"/>
      <c r="N12" s="98"/>
    </row>
    <row r="15" spans="2:21">
      <c r="C15" s="232"/>
    </row>
  </sheetData>
  <phoneticPr fontId="2"/>
  <dataValidations count="1">
    <dataValidation type="list" allowBlank="1" showInputMessage="1" showErrorMessage="1" sqref="C4:C5" xr:uid="{24135047-5FC8-2E4E-B281-41BB5C911CCB}">
      <formula1>"0,1"</formula1>
    </dataValidation>
  </dataValidations>
  <hyperlinks>
    <hyperlink ref="P11" location="'1_a'!B7" display="'1_a'!B7" xr:uid="{EA773DE5-5962-5E41-94BF-43429B843745}"/>
  </hyperlinks>
  <pageMargins left="0.70866141732283472" right="0.70866141732283472" top="0.74803149606299213" bottom="0.74803149606299213" header="0.31496062992125984" footer="0.31496062992125984"/>
  <pageSetup paperSize="9" scale="46" orientation="landscape"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7ACC8-EE7A-4746-BAD1-1741E7849BE7}">
  <sheetPr codeName="Sheet15">
    <tabColor theme="9" tint="0.39997558519241921"/>
    <pageSetUpPr fitToPage="1"/>
  </sheetPr>
  <dimension ref="B1:P26"/>
  <sheetViews>
    <sheetView showGridLines="0" showRowColHeaders="0" zoomScale="110" zoomScaleNormal="110" workbookViewId="0">
      <selection activeCell="O5" sqref="O5"/>
    </sheetView>
  </sheetViews>
  <sheetFormatPr baseColWidth="10" defaultColWidth="10.7109375" defaultRowHeight="15"/>
  <cols>
    <col min="1" max="1" width="5" style="97" customWidth="1"/>
    <col min="2" max="2" width="4.7109375" style="97" customWidth="1"/>
    <col min="3" max="3" width="20.42578125" style="97" customWidth="1"/>
    <col min="4" max="4" width="13.7109375" style="97" customWidth="1"/>
    <col min="5" max="5" width="10.7109375" style="101"/>
    <col min="6" max="6" width="16.5703125" style="99" customWidth="1"/>
    <col min="7" max="7" width="10.7109375" style="97"/>
    <col min="8" max="8" width="16.5703125" style="99" customWidth="1"/>
    <col min="9" max="9" width="9.140625" style="97" customWidth="1"/>
    <col min="10" max="10" width="6.85546875" style="102" bestFit="1" customWidth="1"/>
    <col min="11" max="11" width="35.42578125" style="97" customWidth="1"/>
    <col min="12" max="13" width="9.140625" style="97" customWidth="1"/>
    <col min="14" max="15" width="16.7109375" style="97" customWidth="1"/>
    <col min="16" max="16" width="5" style="97" customWidth="1"/>
    <col min="17" max="16384" width="10.7109375" style="97"/>
  </cols>
  <sheetData>
    <row r="1" spans="2:15" ht="25" customHeight="1">
      <c r="O1" s="400" t="str">
        <f>ナビ!C4</f>
        <v>　</v>
      </c>
    </row>
    <row r="2" spans="2:15" ht="38" customHeight="1">
      <c r="B2" s="97" t="s">
        <v>349</v>
      </c>
    </row>
    <row r="3" spans="2:15" ht="38" customHeight="1">
      <c r="N3" s="99"/>
      <c r="O3" s="99"/>
    </row>
    <row r="4" spans="2:15" s="98" customFormat="1" ht="38" customHeight="1">
      <c r="B4" s="103" t="s">
        <v>358</v>
      </c>
      <c r="C4" s="104" t="s">
        <v>360</v>
      </c>
      <c r="D4" s="103" t="s">
        <v>350</v>
      </c>
      <c r="E4" s="105" t="s">
        <v>353</v>
      </c>
      <c r="F4" s="106" t="s">
        <v>351</v>
      </c>
      <c r="G4" s="103" t="s">
        <v>352</v>
      </c>
      <c r="H4" s="106" t="s">
        <v>357</v>
      </c>
      <c r="I4" s="103" t="s">
        <v>356</v>
      </c>
      <c r="J4" s="103" t="s">
        <v>320</v>
      </c>
      <c r="K4" s="103" t="s">
        <v>361</v>
      </c>
      <c r="L4" s="103" t="s">
        <v>354</v>
      </c>
      <c r="M4" s="103" t="s">
        <v>461</v>
      </c>
      <c r="N4" s="104" t="s">
        <v>359</v>
      </c>
      <c r="O4" s="103" t="s">
        <v>355</v>
      </c>
    </row>
    <row r="5" spans="2:15" ht="38" customHeight="1">
      <c r="B5" s="107">
        <v>1</v>
      </c>
      <c r="C5" s="112"/>
      <c r="D5" s="196">
        <v>32153</v>
      </c>
      <c r="E5" s="113">
        <v>649.1</v>
      </c>
      <c r="F5" s="114">
        <v>15300000</v>
      </c>
      <c r="G5" s="108">
        <f>IFERROR(ROUND(F5/E5,0), "")</f>
        <v>23571</v>
      </c>
      <c r="H5" s="114">
        <v>6126190</v>
      </c>
      <c r="I5" s="108">
        <f>IFERROR(ROUND(H5/E5,0), "")</f>
        <v>9438</v>
      </c>
      <c r="J5" s="107" t="str">
        <f>IF(K5="","",_xlfn.XLOOKUP(K5,標準係数B!T:T,標準係数B!S:S, "IDなし", 0, 1))</f>
        <v>11</v>
      </c>
      <c r="K5" s="194" t="s">
        <v>640</v>
      </c>
      <c r="L5" s="112">
        <v>4</v>
      </c>
      <c r="M5" s="109">
        <f>IFERROR(VLOOKUP(J5,標準係数B!$S$4:$X$20,L5+2,FALSE), "")</f>
        <v>295</v>
      </c>
      <c r="N5" s="108">
        <f>IFERROR(IF(E5&lt;=M5,F5,M5*G5),"")</f>
        <v>6953445</v>
      </c>
      <c r="O5" s="108">
        <f>IFERROR(IF(E5&lt;=M5,H5,M5*I5),"")</f>
        <v>2784210</v>
      </c>
    </row>
    <row r="6" spans="2:15" ht="38" customHeight="1">
      <c r="B6" s="107">
        <v>2</v>
      </c>
      <c r="C6" s="112"/>
      <c r="D6" s="112"/>
      <c r="E6" s="113"/>
      <c r="F6" s="114"/>
      <c r="G6" s="108" t="str">
        <f t="shared" ref="G6" si="0">IFERROR(ROUND(F6/E6,0), "")</f>
        <v/>
      </c>
      <c r="H6" s="114"/>
      <c r="I6" s="108" t="str">
        <f t="shared" ref="I6" si="1">IFERROR(ROUND(H6/E6,0), "")</f>
        <v/>
      </c>
      <c r="J6" s="107" t="str">
        <f>IF(K6="","",_xlfn.XLOOKUP(K6,標準係数B!T:T,標準係数B!S:S, "IDなし", 0, 1))</f>
        <v/>
      </c>
      <c r="K6" s="194"/>
      <c r="L6" s="112"/>
      <c r="M6" s="109" t="str">
        <f>IFERROR(VLOOKUP(J6,標準係数B!$S$4:$X$20,L6+2,FALSE), "")</f>
        <v/>
      </c>
      <c r="N6" s="108">
        <f t="shared" ref="N6:N14" si="2">IFERROR(IF(E6&lt;=M6,F6,M6*G6),"")</f>
        <v>0</v>
      </c>
      <c r="O6" s="108">
        <f t="shared" ref="O6:O14" si="3">IFERROR(IF(E6&lt;=M6,H6,M6*I6),"")</f>
        <v>0</v>
      </c>
    </row>
    <row r="7" spans="2:15" ht="38" customHeight="1">
      <c r="B7" s="107">
        <v>3</v>
      </c>
      <c r="C7" s="112"/>
      <c r="D7" s="112"/>
      <c r="E7" s="113"/>
      <c r="F7" s="114"/>
      <c r="G7" s="108" t="str">
        <f t="shared" ref="G7:G14" si="4">IFERROR(ROUND(F7/E7,0), "")</f>
        <v/>
      </c>
      <c r="H7" s="114"/>
      <c r="I7" s="108" t="str">
        <f t="shared" ref="I7:I14" si="5">IFERROR(ROUND(H7/E7,0), "")</f>
        <v/>
      </c>
      <c r="J7" s="107" t="str">
        <f>IF(K7="","",_xlfn.XLOOKUP(K7,標準係数B!T:T,標準係数B!S:S, "IDなし", 0, 1))</f>
        <v/>
      </c>
      <c r="K7" s="194"/>
      <c r="L7" s="112"/>
      <c r="M7" s="109" t="str">
        <f>IFERROR(VLOOKUP(J7,標準係数B!$S$4:$X$20,L7+2,FALSE), "")</f>
        <v/>
      </c>
      <c r="N7" s="108">
        <f t="shared" si="2"/>
        <v>0</v>
      </c>
      <c r="O7" s="108">
        <f t="shared" si="3"/>
        <v>0</v>
      </c>
    </row>
    <row r="8" spans="2:15" ht="38" customHeight="1">
      <c r="B8" s="107">
        <v>4</v>
      </c>
      <c r="C8" s="112"/>
      <c r="D8" s="112"/>
      <c r="E8" s="113"/>
      <c r="F8" s="114"/>
      <c r="G8" s="108" t="str">
        <f t="shared" si="4"/>
        <v/>
      </c>
      <c r="H8" s="114"/>
      <c r="I8" s="108" t="str">
        <f t="shared" si="5"/>
        <v/>
      </c>
      <c r="J8" s="107" t="str">
        <f>IF(K8="","",_xlfn.XLOOKUP(K8,標準係数B!T:T,標準係数B!S:S, "IDなし", 0, 1))</f>
        <v/>
      </c>
      <c r="K8" s="194"/>
      <c r="L8" s="112"/>
      <c r="M8" s="109" t="str">
        <f>IFERROR(VLOOKUP(J8,標準係数B!$S$4:$X$20,L8+2,FALSE), "")</f>
        <v/>
      </c>
      <c r="N8" s="108">
        <f t="shared" si="2"/>
        <v>0</v>
      </c>
      <c r="O8" s="108">
        <f t="shared" si="3"/>
        <v>0</v>
      </c>
    </row>
    <row r="9" spans="2:15" ht="38" customHeight="1">
      <c r="B9" s="107">
        <v>5</v>
      </c>
      <c r="C9" s="112"/>
      <c r="D9" s="112"/>
      <c r="E9" s="113"/>
      <c r="F9" s="114"/>
      <c r="G9" s="108" t="str">
        <f t="shared" si="4"/>
        <v/>
      </c>
      <c r="H9" s="114"/>
      <c r="I9" s="108" t="str">
        <f t="shared" si="5"/>
        <v/>
      </c>
      <c r="J9" s="107" t="str">
        <f>IF(K9="","",_xlfn.XLOOKUP(K9,標準係数B!T:T,標準係数B!S:S, "IDなし", 0, 1))</f>
        <v/>
      </c>
      <c r="K9" s="194"/>
      <c r="L9" s="112"/>
      <c r="M9" s="109" t="str">
        <f>IFERROR(VLOOKUP(J9,標準係数B!$S$4:$X$20,L9+2,FALSE), "")</f>
        <v/>
      </c>
      <c r="N9" s="108">
        <f t="shared" si="2"/>
        <v>0</v>
      </c>
      <c r="O9" s="108">
        <f t="shared" si="3"/>
        <v>0</v>
      </c>
    </row>
    <row r="10" spans="2:15" ht="38" customHeight="1">
      <c r="B10" s="107">
        <v>6</v>
      </c>
      <c r="C10" s="112"/>
      <c r="D10" s="112"/>
      <c r="E10" s="113"/>
      <c r="F10" s="114"/>
      <c r="G10" s="108" t="str">
        <f t="shared" si="4"/>
        <v/>
      </c>
      <c r="H10" s="114"/>
      <c r="I10" s="108" t="str">
        <f t="shared" si="5"/>
        <v/>
      </c>
      <c r="J10" s="107" t="str">
        <f>IF(K10="","",_xlfn.XLOOKUP(K10,標準係数B!T:T,標準係数B!S:S, "IDなし", 0, 1))</f>
        <v/>
      </c>
      <c r="K10" s="194"/>
      <c r="L10" s="112"/>
      <c r="M10" s="109" t="str">
        <f>IFERROR(VLOOKUP(J10,標準係数B!$S$4:$X$20,L10+2,FALSE), "")</f>
        <v/>
      </c>
      <c r="N10" s="108">
        <f t="shared" si="2"/>
        <v>0</v>
      </c>
      <c r="O10" s="108">
        <f t="shared" si="3"/>
        <v>0</v>
      </c>
    </row>
    <row r="11" spans="2:15" ht="38" customHeight="1">
      <c r="B11" s="107">
        <v>7</v>
      </c>
      <c r="C11" s="112"/>
      <c r="D11" s="112"/>
      <c r="E11" s="113"/>
      <c r="F11" s="114"/>
      <c r="G11" s="108" t="str">
        <f t="shared" si="4"/>
        <v/>
      </c>
      <c r="H11" s="114"/>
      <c r="I11" s="108" t="str">
        <f t="shared" si="5"/>
        <v/>
      </c>
      <c r="J11" s="107" t="str">
        <f>IF(K11="","",_xlfn.XLOOKUP(K11,標準係数B!T:T,標準係数B!S:S, "IDなし", 0, 1))</f>
        <v/>
      </c>
      <c r="K11" s="194"/>
      <c r="L11" s="112"/>
      <c r="M11" s="109" t="str">
        <f>IFERROR(VLOOKUP(J11,標準係数B!$S$4:$X$20,L11+2,FALSE), "")</f>
        <v/>
      </c>
      <c r="N11" s="108">
        <f t="shared" si="2"/>
        <v>0</v>
      </c>
      <c r="O11" s="108">
        <f t="shared" si="3"/>
        <v>0</v>
      </c>
    </row>
    <row r="12" spans="2:15" ht="38" customHeight="1">
      <c r="B12" s="107">
        <v>8</v>
      </c>
      <c r="C12" s="112"/>
      <c r="D12" s="112"/>
      <c r="E12" s="113"/>
      <c r="F12" s="114"/>
      <c r="G12" s="108" t="str">
        <f t="shared" si="4"/>
        <v/>
      </c>
      <c r="H12" s="114"/>
      <c r="I12" s="108" t="str">
        <f t="shared" si="5"/>
        <v/>
      </c>
      <c r="J12" s="107" t="str">
        <f>IF(K12="","",_xlfn.XLOOKUP(K12,標準係数B!T:T,標準係数B!S:S, "IDなし", 0, 1))</f>
        <v/>
      </c>
      <c r="K12" s="194"/>
      <c r="L12" s="112"/>
      <c r="M12" s="109" t="str">
        <f>IFERROR(VLOOKUP(J12,標準係数B!$S$4:$X$20,L12+2,FALSE), "")</f>
        <v/>
      </c>
      <c r="N12" s="108">
        <f t="shared" si="2"/>
        <v>0</v>
      </c>
      <c r="O12" s="108">
        <f t="shared" si="3"/>
        <v>0</v>
      </c>
    </row>
    <row r="13" spans="2:15" ht="38" customHeight="1">
      <c r="B13" s="107">
        <v>9</v>
      </c>
      <c r="C13" s="112"/>
      <c r="D13" s="112"/>
      <c r="E13" s="113"/>
      <c r="F13" s="114"/>
      <c r="G13" s="108" t="str">
        <f t="shared" si="4"/>
        <v/>
      </c>
      <c r="H13" s="114"/>
      <c r="I13" s="108" t="str">
        <f t="shared" si="5"/>
        <v/>
      </c>
      <c r="J13" s="107" t="str">
        <f>IF(K13="","",_xlfn.XLOOKUP(K13,標準係数B!T:T,標準係数B!S:S, "IDなし", 0, 1))</f>
        <v/>
      </c>
      <c r="K13" s="194"/>
      <c r="L13" s="112"/>
      <c r="M13" s="109" t="str">
        <f>IFERROR(VLOOKUP(J13,標準係数B!$S$4:$X$20,L13+2,FALSE), "")</f>
        <v/>
      </c>
      <c r="N13" s="108">
        <f t="shared" si="2"/>
        <v>0</v>
      </c>
      <c r="O13" s="108">
        <f t="shared" si="3"/>
        <v>0</v>
      </c>
    </row>
    <row r="14" spans="2:15" ht="38" customHeight="1">
      <c r="B14" s="107">
        <v>10</v>
      </c>
      <c r="C14" s="112"/>
      <c r="D14" s="112"/>
      <c r="E14" s="113"/>
      <c r="F14" s="114"/>
      <c r="G14" s="108" t="str">
        <f t="shared" si="4"/>
        <v/>
      </c>
      <c r="H14" s="114"/>
      <c r="I14" s="108" t="str">
        <f t="shared" si="5"/>
        <v/>
      </c>
      <c r="J14" s="107" t="str">
        <f>IF(K14="","",_xlfn.XLOOKUP(K14,標準係数B!T:T,標準係数B!S:S, "IDなし", 0, 1))</f>
        <v/>
      </c>
      <c r="K14" s="194"/>
      <c r="L14" s="112"/>
      <c r="M14" s="109" t="str">
        <f>IFERROR(VLOOKUP(J14,標準係数B!$S$4:$X$20,L14+2,FALSE), "")</f>
        <v/>
      </c>
      <c r="N14" s="108">
        <f t="shared" si="2"/>
        <v>0</v>
      </c>
      <c r="O14" s="108">
        <f t="shared" si="3"/>
        <v>0</v>
      </c>
    </row>
    <row r="15" spans="2:15" ht="38" customHeight="1">
      <c r="B15" s="107" t="s">
        <v>339</v>
      </c>
      <c r="C15" s="110"/>
      <c r="D15" s="110"/>
      <c r="E15" s="111">
        <f>SUM(E5:E14)</f>
        <v>649.1</v>
      </c>
      <c r="F15" s="111">
        <f>SUM(F5:F14)</f>
        <v>15300000</v>
      </c>
      <c r="G15" s="110"/>
      <c r="H15" s="111">
        <f>SUM(H5:H14)</f>
        <v>6126190</v>
      </c>
      <c r="I15" s="110"/>
      <c r="J15" s="107"/>
      <c r="K15" s="110"/>
      <c r="L15" s="110"/>
      <c r="M15" s="111">
        <f>SUM(M5:M14)</f>
        <v>295</v>
      </c>
      <c r="N15" s="193">
        <f>SUM(N5:N14)</f>
        <v>6953445</v>
      </c>
      <c r="O15" s="195">
        <f>SUM(O5:O14)</f>
        <v>2784210</v>
      </c>
    </row>
    <row r="16" spans="2:15" ht="25" customHeight="1"/>
    <row r="26" spans="16:16">
      <c r="P26" s="150"/>
    </row>
  </sheetData>
  <phoneticPr fontId="2"/>
  <hyperlinks>
    <hyperlink ref="N15" location="'1_a'!F19" display="'1_a'!F19" xr:uid="{3A2C22DE-7439-7540-99DB-300C2EA9BCB2}"/>
    <hyperlink ref="O15" location="'1_b'!B33" display="'1_b'!B33" xr:uid="{893F1180-83C8-0446-B1E3-C1C107349965}"/>
  </hyperlinks>
  <pageMargins left="0.70866141732283472" right="0.70866141732283472" top="0.74803149606299213" bottom="0.74803149606299213" header="0.31496062992125984" footer="0.31496062992125984"/>
  <pageSetup paperSize="9" scale="56" orientation="landscape" horizontalDpi="0" verticalDpi="0"/>
  <extLst>
    <ext xmlns:x14="http://schemas.microsoft.com/office/spreadsheetml/2009/9/main" uri="{CCE6A557-97BC-4b89-ADB6-D9C93CAAB3DF}">
      <x14:dataValidations xmlns:xm="http://schemas.microsoft.com/office/excel/2006/main" count="1">
        <x14:dataValidation type="list" allowBlank="1" showInputMessage="1" showErrorMessage="1" xr:uid="{0BC96FA7-22D7-DB41-A6DD-926187D1C6B5}">
          <x14:formula1>
            <xm:f>標準係数B!$T$4:$T$20</xm:f>
          </x14:formula1>
          <xm:sqref>K5:K14</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694A7-3B5B-C943-A266-EAE7F6B62D1D}">
  <sheetPr codeName="Sheet16">
    <tabColor theme="9" tint="0.39997558519241921"/>
    <pageSetUpPr fitToPage="1"/>
  </sheetPr>
  <dimension ref="B1:V86"/>
  <sheetViews>
    <sheetView showGridLines="0" zoomScale="110" zoomScaleNormal="110" workbookViewId="0">
      <pane xSplit="1" ySplit="5" topLeftCell="B6" activePane="bottomRight" state="frozen"/>
      <selection activeCell="N8" sqref="N8"/>
      <selection pane="topRight" activeCell="N8" sqref="N8"/>
      <selection pane="bottomLeft" activeCell="N8" sqref="N8"/>
      <selection pane="bottomRight" activeCell="J21" sqref="J21"/>
    </sheetView>
  </sheetViews>
  <sheetFormatPr baseColWidth="10" defaultColWidth="10.7109375" defaultRowHeight="15"/>
  <cols>
    <col min="1" max="1" width="5" style="97" customWidth="1"/>
    <col min="2" max="2" width="10" style="97" customWidth="1"/>
    <col min="3" max="3" width="19.5703125" style="97" customWidth="1"/>
    <col min="4" max="4" width="12.140625" style="97" customWidth="1"/>
    <col min="5" max="5" width="12.140625" style="99" customWidth="1"/>
    <col min="6" max="7" width="12.140625" style="97" customWidth="1"/>
    <col min="8" max="8" width="10.7109375" style="97"/>
    <col min="9" max="12" width="10.7109375" style="102"/>
    <col min="13" max="14" width="12.42578125" style="123" customWidth="1"/>
    <col min="15" max="16" width="12.42578125" style="97" customWidth="1"/>
    <col min="17" max="17" width="10.7109375" style="97"/>
    <col min="18" max="18" width="10.7109375" style="125"/>
    <col min="19" max="19" width="10.7109375" style="97"/>
    <col min="20" max="20" width="5" style="97" customWidth="1"/>
    <col min="21" max="16384" width="10.7109375" style="97"/>
  </cols>
  <sheetData>
    <row r="1" spans="2:22" ht="26" customHeight="1">
      <c r="S1" s="400" t="str">
        <f>ナビ!C4</f>
        <v>　</v>
      </c>
    </row>
    <row r="2" spans="2:22" ht="38" customHeight="1">
      <c r="B2" s="97" t="s">
        <v>362</v>
      </c>
      <c r="H2" s="97">
        <f>MATCH(償却資産!G6, 標準係数A!B:B, 0)</f>
        <v>17</v>
      </c>
    </row>
    <row r="3" spans="2:22" ht="20" customHeight="1">
      <c r="I3" s="122" t="s">
        <v>434</v>
      </c>
      <c r="J3" s="122" t="s">
        <v>430</v>
      </c>
      <c r="K3" s="122" t="s">
        <v>456</v>
      </c>
      <c r="L3" s="122"/>
      <c r="M3" s="124"/>
      <c r="N3" s="124"/>
      <c r="Q3" s="97" t="s">
        <v>448</v>
      </c>
    </row>
    <row r="4" spans="2:22" ht="20" customHeight="1" thickBot="1">
      <c r="I4" s="122" t="s">
        <v>435</v>
      </c>
      <c r="J4" s="122" t="s">
        <v>431</v>
      </c>
      <c r="K4" s="122" t="s">
        <v>457</v>
      </c>
      <c r="L4" s="122"/>
      <c r="M4" s="124"/>
      <c r="N4" s="124"/>
      <c r="Q4" s="97">
        <v>0.03</v>
      </c>
      <c r="U4" s="97" t="s">
        <v>453</v>
      </c>
    </row>
    <row r="5" spans="2:22" ht="20" customHeight="1">
      <c r="B5" s="127" t="s">
        <v>358</v>
      </c>
      <c r="C5" s="127" t="s">
        <v>363</v>
      </c>
      <c r="D5" s="127" t="s">
        <v>425</v>
      </c>
      <c r="E5" s="131" t="s">
        <v>364</v>
      </c>
      <c r="F5" s="127" t="s">
        <v>433</v>
      </c>
      <c r="G5" s="127" t="s">
        <v>372</v>
      </c>
      <c r="H5" s="127" t="s">
        <v>365</v>
      </c>
      <c r="I5" s="128" t="s">
        <v>429</v>
      </c>
      <c r="J5" s="128" t="s">
        <v>432</v>
      </c>
      <c r="K5" s="128" t="s">
        <v>455</v>
      </c>
      <c r="L5" s="128" t="s">
        <v>458</v>
      </c>
      <c r="M5" s="129" t="s">
        <v>454</v>
      </c>
      <c r="N5" s="129" t="s">
        <v>449</v>
      </c>
      <c r="O5" s="127" t="s">
        <v>366</v>
      </c>
      <c r="P5" s="127" t="s">
        <v>367</v>
      </c>
      <c r="Q5" s="127" t="s">
        <v>368</v>
      </c>
      <c r="R5" s="130" t="s">
        <v>369</v>
      </c>
      <c r="S5" s="127" t="s">
        <v>370</v>
      </c>
      <c r="U5" s="134" t="s">
        <v>426</v>
      </c>
      <c r="V5" s="135" t="s">
        <v>372</v>
      </c>
    </row>
    <row r="6" spans="2:22" ht="20" customHeight="1">
      <c r="B6" s="110">
        <v>1</v>
      </c>
      <c r="C6" s="112" t="s">
        <v>273</v>
      </c>
      <c r="D6" s="110" t="str">
        <f>IF(C6="","",_xlfn.XLOOKUP(C6,標準係数A!$3:$3,標準係数A!$4:$4, "IDなし", 0, 1))</f>
        <v>TTM</v>
      </c>
      <c r="E6" s="114">
        <v>141</v>
      </c>
      <c r="F6" s="196">
        <v>36483</v>
      </c>
      <c r="G6" s="110" t="str">
        <f t="shared" ref="G6:G26" si="0">IF(F6="","",VLOOKUP(F6,$U$5:$V$24,2,TRUE))</f>
        <v>HK12</v>
      </c>
      <c r="H6" s="120">
        <f>IF(C6="","",INDEX(標準係数A!$E:$R, MATCH(償却資産!G6, 標準係数A!B:B, 0), MATCH(償却資産!D6, 標準係数A!$E$4:$R$4, 0)))</f>
        <v>12670</v>
      </c>
      <c r="I6" s="121">
        <f t="shared" ref="I6:I26" si="1">IF(F6="","",IF(AND( F6 &lt;= DATE(2017,4,1), OR(D6="SGS",D6="DKK",D6="DPK",D6="DKT",D6="DPT",D6="SSB")),1,0))</f>
        <v>0</v>
      </c>
      <c r="J6" s="140">
        <v>0</v>
      </c>
      <c r="K6" s="140">
        <v>0</v>
      </c>
      <c r="L6" s="140"/>
      <c r="M6" s="108">
        <f t="shared" ref="M6:M26" si="2">IF(E6="","",E6*H6)</f>
        <v>1786470</v>
      </c>
      <c r="N6" s="108">
        <f t="shared" ref="N6:N26" si="3">IF(E6="","",IF(K6=0,M6,L6))</f>
        <v>1786470</v>
      </c>
      <c r="O6" s="108">
        <f t="shared" ref="O6:O26" si="4">IF(E6="","",IF(P6=N6,0, N6))</f>
        <v>1786470</v>
      </c>
      <c r="P6" s="108">
        <f t="shared" ref="P6:P26" si="5">IF(E6="","",IF(AND(I6=1, J6=1), N6, 0))</f>
        <v>0</v>
      </c>
      <c r="Q6" s="108">
        <f t="shared" ref="Q6:Q26" si="6">IF(M6="","",ROUND(M6*$Q$4,0))</f>
        <v>53594</v>
      </c>
      <c r="R6" s="126">
        <f>IF(M6="","",HLOOKUP(D6,標準係数A!$E$4:$R$5,2,FALSE))</f>
        <v>0.03</v>
      </c>
      <c r="S6" s="108">
        <f t="shared" ref="S6:S26" si="7">IF(N6="","",N6*R6)</f>
        <v>53594.1</v>
      </c>
      <c r="U6" s="136">
        <v>1</v>
      </c>
      <c r="V6" s="137" t="s">
        <v>373</v>
      </c>
    </row>
    <row r="7" spans="2:22" ht="20" customHeight="1">
      <c r="B7" s="110">
        <v>2</v>
      </c>
      <c r="C7" s="112" t="s">
        <v>273</v>
      </c>
      <c r="D7" s="110" t="str">
        <f>IF(C7="","",_xlfn.XLOOKUP(C7,標準係数A!$3:$3,標準係数A!$4:$4, "IDなし", 0, 1))</f>
        <v>TTM</v>
      </c>
      <c r="E7" s="114">
        <v>5</v>
      </c>
      <c r="F7" s="196">
        <v>32599</v>
      </c>
      <c r="G7" s="110" t="str">
        <f t="shared" si="0"/>
        <v>HK11</v>
      </c>
      <c r="H7" s="120">
        <f>IF(C7="","",INDEX(標準係数A!$E:$R, MATCH(償却資産!G7, 標準係数A!B:B, 0), MATCH(償却資産!D7, 標準係数A!$E$4:$R$4, 0)))</f>
        <v>10485</v>
      </c>
      <c r="I7" s="121">
        <f t="shared" si="1"/>
        <v>0</v>
      </c>
      <c r="J7" s="140">
        <v>0</v>
      </c>
      <c r="K7" s="140">
        <v>0</v>
      </c>
      <c r="L7" s="140"/>
      <c r="M7" s="108">
        <f t="shared" si="2"/>
        <v>52425</v>
      </c>
      <c r="N7" s="108">
        <f t="shared" si="3"/>
        <v>52425</v>
      </c>
      <c r="O7" s="108">
        <f t="shared" si="4"/>
        <v>52425</v>
      </c>
      <c r="P7" s="108">
        <f t="shared" si="5"/>
        <v>0</v>
      </c>
      <c r="Q7" s="108">
        <f t="shared" si="6"/>
        <v>1573</v>
      </c>
      <c r="R7" s="126">
        <f>IF(M7="","",HLOOKUP(D7,標準係数A!$E$4:$R$5,2,FALSE))</f>
        <v>0.03</v>
      </c>
      <c r="S7" s="108">
        <f t="shared" si="7"/>
        <v>1572.75</v>
      </c>
      <c r="U7" s="136">
        <v>26846</v>
      </c>
      <c r="V7" s="137" t="s">
        <v>374</v>
      </c>
    </row>
    <row r="8" spans="2:22" ht="20" customHeight="1">
      <c r="B8" s="110">
        <v>3</v>
      </c>
      <c r="C8" s="112" t="s">
        <v>273</v>
      </c>
      <c r="D8" s="110" t="str">
        <f>IF(C8="","",_xlfn.XLOOKUP(C8,標準係数A!$3:$3,標準係数A!$4:$4, "IDなし", 0, 1))</f>
        <v>TTM</v>
      </c>
      <c r="E8" s="114">
        <v>341</v>
      </c>
      <c r="F8" s="196">
        <v>32069</v>
      </c>
      <c r="G8" s="110" t="str">
        <f t="shared" si="0"/>
        <v>HK10</v>
      </c>
      <c r="H8" s="120">
        <f>IF(C8="","",INDEX(標準係数A!$E:$R, MATCH(償却資産!G8, 標準係数A!B:B, 0), MATCH(償却資産!D8, 標準係数A!$E$4:$R$4, 0)))</f>
        <v>10350</v>
      </c>
      <c r="I8" s="121">
        <f t="shared" si="1"/>
        <v>0</v>
      </c>
      <c r="J8" s="140">
        <v>0</v>
      </c>
      <c r="K8" s="140">
        <v>0</v>
      </c>
      <c r="L8" s="140"/>
      <c r="M8" s="108">
        <f t="shared" si="2"/>
        <v>3529350</v>
      </c>
      <c r="N8" s="108">
        <f t="shared" si="3"/>
        <v>3529350</v>
      </c>
      <c r="O8" s="108">
        <f t="shared" si="4"/>
        <v>3529350</v>
      </c>
      <c r="P8" s="108">
        <f t="shared" si="5"/>
        <v>0</v>
      </c>
      <c r="Q8" s="108">
        <f t="shared" si="6"/>
        <v>105881</v>
      </c>
      <c r="R8" s="126">
        <f>IF(M8="","",HLOOKUP(D8,標準係数A!$E$4:$R$5,2,FALSE))</f>
        <v>0.03</v>
      </c>
      <c r="S8" s="108">
        <f t="shared" si="7"/>
        <v>105880.5</v>
      </c>
      <c r="U8" s="136">
        <v>27292</v>
      </c>
      <c r="V8" s="137" t="s">
        <v>375</v>
      </c>
    </row>
    <row r="9" spans="2:22" ht="20" customHeight="1">
      <c r="B9" s="110">
        <v>4</v>
      </c>
      <c r="C9" s="112" t="s">
        <v>274</v>
      </c>
      <c r="D9" s="110" t="str">
        <f>IF(C9="","",_xlfn.XLOOKUP(C9,標準係数A!$3:$3,標準係数A!$4:$4, "IDなし", 0, 1))</f>
        <v>KCB</v>
      </c>
      <c r="E9" s="114">
        <v>141</v>
      </c>
      <c r="F9" s="196">
        <v>36483</v>
      </c>
      <c r="G9" s="110" t="str">
        <f t="shared" si="0"/>
        <v>HK12</v>
      </c>
      <c r="H9" s="120">
        <f>IF(C9="","",INDEX(標準係数A!$E:$R, MATCH(償却資産!G9, 標準係数A!B:B, 0), MATCH(償却資産!D9, 標準係数A!$E$4:$R$4, 0)))</f>
        <v>4960</v>
      </c>
      <c r="I9" s="121">
        <f t="shared" si="1"/>
        <v>0</v>
      </c>
      <c r="J9" s="140">
        <v>0</v>
      </c>
      <c r="K9" s="140">
        <v>0</v>
      </c>
      <c r="L9" s="140"/>
      <c r="M9" s="108">
        <f t="shared" si="2"/>
        <v>699360</v>
      </c>
      <c r="N9" s="108">
        <f t="shared" si="3"/>
        <v>699360</v>
      </c>
      <c r="O9" s="108">
        <f t="shared" si="4"/>
        <v>699360</v>
      </c>
      <c r="P9" s="108">
        <f t="shared" si="5"/>
        <v>0</v>
      </c>
      <c r="Q9" s="108">
        <f t="shared" si="6"/>
        <v>20981</v>
      </c>
      <c r="R9" s="126">
        <f>IF(M9="","",HLOOKUP(D9,標準係数A!$E$4:$R$5,2,FALSE))</f>
        <v>0.1</v>
      </c>
      <c r="S9" s="108">
        <f t="shared" si="7"/>
        <v>69936</v>
      </c>
      <c r="U9" s="136">
        <v>27687</v>
      </c>
      <c r="V9" s="137" t="s">
        <v>376</v>
      </c>
    </row>
    <row r="10" spans="2:22" ht="20" customHeight="1">
      <c r="B10" s="110">
        <v>5</v>
      </c>
      <c r="C10" s="112" t="s">
        <v>274</v>
      </c>
      <c r="D10" s="110" t="str">
        <f>IF(C10="","",_xlfn.XLOOKUP(C10,標準係数A!$3:$3,標準係数A!$4:$4, "IDなし", 0, 1))</f>
        <v>KCB</v>
      </c>
      <c r="E10" s="114">
        <v>5</v>
      </c>
      <c r="F10" s="196">
        <v>32599</v>
      </c>
      <c r="G10" s="110" t="str">
        <f t="shared" si="0"/>
        <v>HK11</v>
      </c>
      <c r="H10" s="120">
        <f>IF(C10="","",INDEX(標準係数A!$E:$R, MATCH(償却資産!G10, 標準係数A!B:B, 0), MATCH(償却資産!D10, 標準係数A!$E$4:$R$4, 0)))</f>
        <v>1700</v>
      </c>
      <c r="I10" s="121">
        <f t="shared" si="1"/>
        <v>0</v>
      </c>
      <c r="J10" s="140">
        <v>0</v>
      </c>
      <c r="K10" s="140">
        <v>0</v>
      </c>
      <c r="L10" s="140"/>
      <c r="M10" s="108">
        <f t="shared" si="2"/>
        <v>8500</v>
      </c>
      <c r="N10" s="108">
        <f t="shared" si="3"/>
        <v>8500</v>
      </c>
      <c r="O10" s="108">
        <f t="shared" si="4"/>
        <v>8500</v>
      </c>
      <c r="P10" s="108">
        <f t="shared" si="5"/>
        <v>0</v>
      </c>
      <c r="Q10" s="108">
        <f t="shared" si="6"/>
        <v>255</v>
      </c>
      <c r="R10" s="126">
        <f>IF(M10="","",HLOOKUP(D10,標準係数A!$E$4:$R$5,2,FALSE))</f>
        <v>0.1</v>
      </c>
      <c r="S10" s="108">
        <f t="shared" si="7"/>
        <v>850</v>
      </c>
      <c r="U10" s="136">
        <v>28135</v>
      </c>
      <c r="V10" s="137" t="s">
        <v>377</v>
      </c>
    </row>
    <row r="11" spans="2:22" ht="20" customHeight="1">
      <c r="B11" s="110">
        <v>6</v>
      </c>
      <c r="C11" s="112" t="s">
        <v>274</v>
      </c>
      <c r="D11" s="110" t="str">
        <f>IF(C11="","",_xlfn.XLOOKUP(C11,標準係数A!$3:$3,標準係数A!$4:$4, "IDなし", 0, 1))</f>
        <v>KCB</v>
      </c>
      <c r="E11" s="114">
        <v>341</v>
      </c>
      <c r="F11" s="196">
        <v>32069</v>
      </c>
      <c r="G11" s="110" t="str">
        <f t="shared" si="0"/>
        <v>HK10</v>
      </c>
      <c r="H11" s="120">
        <f>IF(C11="","",INDEX(標準係数A!$E:$R, MATCH(償却資産!G11, 標準係数A!B:B, 0), MATCH(償却資産!D11, 標準係数A!$E$4:$R$4, 0)))</f>
        <v>1680</v>
      </c>
      <c r="I11" s="121">
        <f t="shared" si="1"/>
        <v>0</v>
      </c>
      <c r="J11" s="140">
        <v>0</v>
      </c>
      <c r="K11" s="140">
        <v>0</v>
      </c>
      <c r="L11" s="140"/>
      <c r="M11" s="108">
        <f t="shared" si="2"/>
        <v>572880</v>
      </c>
      <c r="N11" s="108">
        <f t="shared" si="3"/>
        <v>572880</v>
      </c>
      <c r="O11" s="108">
        <f t="shared" si="4"/>
        <v>572880</v>
      </c>
      <c r="P11" s="108">
        <f t="shared" si="5"/>
        <v>0</v>
      </c>
      <c r="Q11" s="108">
        <f t="shared" si="6"/>
        <v>17186</v>
      </c>
      <c r="R11" s="126">
        <f>IF(M11="","",HLOOKUP(D11,標準係数A!$E$4:$R$5,2,FALSE))</f>
        <v>0.1</v>
      </c>
      <c r="S11" s="108">
        <f t="shared" si="7"/>
        <v>57288</v>
      </c>
      <c r="U11" s="136">
        <v>28491</v>
      </c>
      <c r="V11" s="137" t="s">
        <v>378</v>
      </c>
    </row>
    <row r="12" spans="2:22" ht="20" customHeight="1">
      <c r="B12" s="110">
        <v>7</v>
      </c>
      <c r="C12" s="112" t="s">
        <v>275</v>
      </c>
      <c r="D12" s="110" t="str">
        <f>IF(C12="","",_xlfn.XLOOKUP(C12,標準係数A!$3:$3,標準係数A!$4:$4, "IDなし", 0, 1))</f>
        <v>SGS</v>
      </c>
      <c r="E12" s="114">
        <v>141</v>
      </c>
      <c r="F12" s="196">
        <v>36483</v>
      </c>
      <c r="G12" s="110" t="str">
        <f t="shared" si="0"/>
        <v>HK12</v>
      </c>
      <c r="H12" s="120">
        <f>IF(C12="","",INDEX(標準係数A!$E:$R, MATCH(償却資産!G12, 標準係数A!B:B, 0), MATCH(償却資産!D12, 標準係数A!$E$4:$R$4, 0)))</f>
        <v>10590</v>
      </c>
      <c r="I12" s="121">
        <f t="shared" si="1"/>
        <v>1</v>
      </c>
      <c r="J12" s="140">
        <v>1</v>
      </c>
      <c r="K12" s="140">
        <v>0</v>
      </c>
      <c r="L12" s="140"/>
      <c r="M12" s="108">
        <f t="shared" si="2"/>
        <v>1493190</v>
      </c>
      <c r="N12" s="108">
        <f t="shared" si="3"/>
        <v>1493190</v>
      </c>
      <c r="O12" s="108">
        <f t="shared" si="4"/>
        <v>0</v>
      </c>
      <c r="P12" s="108">
        <f t="shared" si="5"/>
        <v>1493190</v>
      </c>
      <c r="Q12" s="108">
        <f t="shared" si="6"/>
        <v>44796</v>
      </c>
      <c r="R12" s="126">
        <f>IF(M12="","",HLOOKUP(D12,標準係数A!$E$4:$R$5,2,FALSE))</f>
        <v>0.1</v>
      </c>
      <c r="S12" s="108">
        <f t="shared" si="7"/>
        <v>149319</v>
      </c>
      <c r="U12" s="136">
        <v>29188</v>
      </c>
      <c r="V12" s="137" t="s">
        <v>379</v>
      </c>
    </row>
    <row r="13" spans="2:22" ht="20" customHeight="1">
      <c r="B13" s="110">
        <v>8</v>
      </c>
      <c r="C13" s="112" t="s">
        <v>275</v>
      </c>
      <c r="D13" s="110" t="str">
        <f>IF(C13="","",_xlfn.XLOOKUP(C13,標準係数A!$3:$3,標準係数A!$4:$4, "IDなし", 0, 1))</f>
        <v>SGS</v>
      </c>
      <c r="E13" s="114">
        <v>5</v>
      </c>
      <c r="F13" s="196">
        <v>32599</v>
      </c>
      <c r="G13" s="110" t="str">
        <f t="shared" si="0"/>
        <v>HK11</v>
      </c>
      <c r="H13" s="120">
        <f>IF(C13="","",INDEX(標準係数A!$E:$R, MATCH(償却資産!G13, 標準係数A!B:B, 0), MATCH(償却資産!D13, 標準係数A!$E$4:$R$4, 0)))</f>
        <v>6040</v>
      </c>
      <c r="I13" s="121">
        <f t="shared" si="1"/>
        <v>1</v>
      </c>
      <c r="J13" s="140">
        <v>1</v>
      </c>
      <c r="K13" s="140">
        <v>0</v>
      </c>
      <c r="L13" s="140"/>
      <c r="M13" s="108">
        <f t="shared" si="2"/>
        <v>30200</v>
      </c>
      <c r="N13" s="108">
        <f t="shared" si="3"/>
        <v>30200</v>
      </c>
      <c r="O13" s="108">
        <f t="shared" si="4"/>
        <v>0</v>
      </c>
      <c r="P13" s="108">
        <f t="shared" si="5"/>
        <v>30200</v>
      </c>
      <c r="Q13" s="108">
        <f t="shared" si="6"/>
        <v>906</v>
      </c>
      <c r="R13" s="126">
        <f>IF(M13="","",HLOOKUP(D13,標準係数A!$E$4:$R$5,2,FALSE))</f>
        <v>0.1</v>
      </c>
      <c r="S13" s="108">
        <f t="shared" si="7"/>
        <v>3020</v>
      </c>
      <c r="U13" s="136">
        <v>29634</v>
      </c>
      <c r="V13" s="137" t="s">
        <v>380</v>
      </c>
    </row>
    <row r="14" spans="2:22" ht="20" customHeight="1">
      <c r="B14" s="110">
        <v>9</v>
      </c>
      <c r="C14" s="112" t="s">
        <v>275</v>
      </c>
      <c r="D14" s="110" t="str">
        <f>IF(C14="","",_xlfn.XLOOKUP(C14,標準係数A!$3:$3,標準係数A!$4:$4, "IDなし", 0, 1))</f>
        <v>SGS</v>
      </c>
      <c r="E14" s="114">
        <v>341</v>
      </c>
      <c r="F14" s="196">
        <v>32069</v>
      </c>
      <c r="G14" s="110" t="str">
        <f t="shared" si="0"/>
        <v>HK10</v>
      </c>
      <c r="H14" s="120">
        <f>IF(C14="","",INDEX(標準係数A!$E:$R, MATCH(償却資産!G14, 標準係数A!B:B, 0), MATCH(償却資産!D14, 標準係数A!$E$4:$R$4, 0)))</f>
        <v>5960</v>
      </c>
      <c r="I14" s="121">
        <f t="shared" si="1"/>
        <v>1</v>
      </c>
      <c r="J14" s="140">
        <v>1</v>
      </c>
      <c r="K14" s="140">
        <v>0</v>
      </c>
      <c r="L14" s="140"/>
      <c r="M14" s="108">
        <f t="shared" si="2"/>
        <v>2032360</v>
      </c>
      <c r="N14" s="108">
        <f t="shared" si="3"/>
        <v>2032360</v>
      </c>
      <c r="O14" s="108">
        <f t="shared" si="4"/>
        <v>0</v>
      </c>
      <c r="P14" s="108">
        <f t="shared" si="5"/>
        <v>2032360</v>
      </c>
      <c r="Q14" s="108">
        <f t="shared" si="6"/>
        <v>60971</v>
      </c>
      <c r="R14" s="126">
        <f>IF(M14="","",HLOOKUP(D14,標準係数A!$E$4:$R$5,2,FALSE))</f>
        <v>0.1</v>
      </c>
      <c r="S14" s="108">
        <f t="shared" si="7"/>
        <v>203236</v>
      </c>
      <c r="U14" s="136">
        <v>30545</v>
      </c>
      <c r="V14" s="137" t="s">
        <v>381</v>
      </c>
    </row>
    <row r="15" spans="2:22" ht="20" customHeight="1">
      <c r="B15" s="110">
        <v>10</v>
      </c>
      <c r="C15" s="112" t="s">
        <v>281</v>
      </c>
      <c r="D15" s="110" t="str">
        <f>IF(C15="","",_xlfn.XLOOKUP(C15,標準係数A!$3:$3,標準係数A!$4:$4, "IDなし", 0, 1))</f>
        <v>MTR</v>
      </c>
      <c r="E15" s="114">
        <v>487</v>
      </c>
      <c r="F15" s="196">
        <v>40424</v>
      </c>
      <c r="G15" s="110" t="str">
        <f t="shared" si="0"/>
        <v>HK15</v>
      </c>
      <c r="H15" s="120">
        <f>IF(C15="","",INDEX(標準係数A!$E:$R, MATCH(償却資産!G15, 標準係数A!B:B, 0), MATCH(償却資産!D15, 標準係数A!$E$4:$R$4, 0)))</f>
        <v>11010</v>
      </c>
      <c r="I15" s="121">
        <f t="shared" si="1"/>
        <v>0</v>
      </c>
      <c r="J15" s="140">
        <v>0</v>
      </c>
      <c r="K15" s="140">
        <v>0</v>
      </c>
      <c r="L15" s="140"/>
      <c r="M15" s="108">
        <f t="shared" si="2"/>
        <v>5361870</v>
      </c>
      <c r="N15" s="108">
        <f t="shared" si="3"/>
        <v>5361870</v>
      </c>
      <c r="O15" s="108">
        <f t="shared" si="4"/>
        <v>5361870</v>
      </c>
      <c r="P15" s="108">
        <f t="shared" si="5"/>
        <v>0</v>
      </c>
      <c r="Q15" s="108">
        <f t="shared" si="6"/>
        <v>160856</v>
      </c>
      <c r="R15" s="126">
        <f>IF(M15="","",HLOOKUP(D15,標準係数A!$E$4:$R$5,2,FALSE))</f>
        <v>7.6999999999999999E-2</v>
      </c>
      <c r="S15" s="108">
        <f t="shared" si="7"/>
        <v>412863.99</v>
      </c>
      <c r="U15" s="136">
        <v>32069</v>
      </c>
      <c r="V15" s="137" t="s">
        <v>382</v>
      </c>
    </row>
    <row r="16" spans="2:22" ht="20" customHeight="1">
      <c r="B16" s="110">
        <v>11</v>
      </c>
      <c r="C16" s="112" t="s">
        <v>280</v>
      </c>
      <c r="D16" s="110" t="str">
        <f>IF(C16="","",_xlfn.XLOOKUP(C16,標準係数A!$3:$3,標準係数A!$4:$4, "IDなし", 0, 1))</f>
        <v>DPT</v>
      </c>
      <c r="E16" s="114">
        <v>141</v>
      </c>
      <c r="F16" s="196">
        <v>36483</v>
      </c>
      <c r="G16" s="110" t="str">
        <f t="shared" si="0"/>
        <v>HK12</v>
      </c>
      <c r="H16" s="120">
        <f>IF(C16="","",INDEX(標準係数A!$E:$R, MATCH(償却資産!G16, 標準係数A!B:B, 0), MATCH(償却資産!D16, 標準係数A!$E$4:$R$4, 0)))</f>
        <v>108630</v>
      </c>
      <c r="I16" s="121">
        <f t="shared" si="1"/>
        <v>1</v>
      </c>
      <c r="J16" s="140">
        <v>1</v>
      </c>
      <c r="K16" s="140">
        <v>0</v>
      </c>
      <c r="L16" s="140"/>
      <c r="M16" s="108">
        <f t="shared" si="2"/>
        <v>15316830</v>
      </c>
      <c r="N16" s="108">
        <f t="shared" si="3"/>
        <v>15316830</v>
      </c>
      <c r="O16" s="108">
        <f t="shared" si="4"/>
        <v>0</v>
      </c>
      <c r="P16" s="108">
        <f t="shared" si="5"/>
        <v>15316830</v>
      </c>
      <c r="Q16" s="108">
        <f t="shared" si="6"/>
        <v>459505</v>
      </c>
      <c r="R16" s="126">
        <f>IF(M16="","",HLOOKUP(D16,標準係数A!$E$4:$R$5,2,FALSE))</f>
        <v>7.6999999999999999E-2</v>
      </c>
      <c r="S16" s="108">
        <f t="shared" si="7"/>
        <v>1179395.9099999999</v>
      </c>
      <c r="U16" s="136">
        <v>32599</v>
      </c>
      <c r="V16" s="137" t="s">
        <v>383</v>
      </c>
    </row>
    <row r="17" spans="2:22" ht="20" customHeight="1">
      <c r="B17" s="110">
        <v>12</v>
      </c>
      <c r="C17" s="112" t="s">
        <v>280</v>
      </c>
      <c r="D17" s="110" t="str">
        <f>IF(C17="","",_xlfn.XLOOKUP(C17,標準係数A!$3:$3,標準係数A!$4:$4, "IDなし", 0, 1))</f>
        <v>DPT</v>
      </c>
      <c r="E17" s="114">
        <v>5</v>
      </c>
      <c r="F17" s="196">
        <v>32599</v>
      </c>
      <c r="G17" s="110" t="str">
        <f t="shared" si="0"/>
        <v>HK11</v>
      </c>
      <c r="H17" s="120">
        <f>IF(C17="","",INDEX(標準係数A!$E:$R, MATCH(償却資産!G17, 標準係数A!B:B, 0), MATCH(償却資産!D17, 標準係数A!$E$4:$R$4, 0)))</f>
        <v>62930</v>
      </c>
      <c r="I17" s="121">
        <f t="shared" si="1"/>
        <v>1</v>
      </c>
      <c r="J17" s="140">
        <v>1</v>
      </c>
      <c r="K17" s="140">
        <v>0</v>
      </c>
      <c r="L17" s="140"/>
      <c r="M17" s="108">
        <f t="shared" si="2"/>
        <v>314650</v>
      </c>
      <c r="N17" s="108">
        <f t="shared" si="3"/>
        <v>314650</v>
      </c>
      <c r="O17" s="108">
        <f t="shared" si="4"/>
        <v>0</v>
      </c>
      <c r="P17" s="108">
        <f t="shared" si="5"/>
        <v>314650</v>
      </c>
      <c r="Q17" s="108">
        <f t="shared" si="6"/>
        <v>9440</v>
      </c>
      <c r="R17" s="126">
        <f>IF(M17="","",HLOOKUP(D17,標準係数A!$E$4:$R$5,2,FALSE))</f>
        <v>7.6999999999999999E-2</v>
      </c>
      <c r="S17" s="108">
        <f t="shared" si="7"/>
        <v>24228.05</v>
      </c>
      <c r="U17" s="136">
        <v>36483</v>
      </c>
      <c r="V17" s="137" t="s">
        <v>384</v>
      </c>
    </row>
    <row r="18" spans="2:22" ht="20" customHeight="1">
      <c r="B18" s="110">
        <v>13</v>
      </c>
      <c r="C18" s="112" t="s">
        <v>280</v>
      </c>
      <c r="D18" s="110" t="str">
        <f>IF(C18="","",_xlfn.XLOOKUP(C18,標準係数A!$3:$3,標準係数A!$4:$4, "IDなし", 0, 1))</f>
        <v>DPT</v>
      </c>
      <c r="E18" s="114">
        <v>341</v>
      </c>
      <c r="F18" s="196">
        <v>32069</v>
      </c>
      <c r="G18" s="110" t="str">
        <f t="shared" si="0"/>
        <v>HK10</v>
      </c>
      <c r="H18" s="120">
        <f>IF(C18="","",INDEX(標準係数A!$E:$R, MATCH(償却資産!G18, 標準係数A!B:B, 0), MATCH(償却資産!D18, 標準係数A!$E$4:$R$4, 0)))</f>
        <v>62120</v>
      </c>
      <c r="I18" s="121">
        <f t="shared" si="1"/>
        <v>1</v>
      </c>
      <c r="J18" s="140">
        <v>1</v>
      </c>
      <c r="K18" s="140">
        <v>0</v>
      </c>
      <c r="L18" s="140"/>
      <c r="M18" s="108">
        <f t="shared" si="2"/>
        <v>21182920</v>
      </c>
      <c r="N18" s="108">
        <f t="shared" si="3"/>
        <v>21182920</v>
      </c>
      <c r="O18" s="108">
        <f t="shared" si="4"/>
        <v>0</v>
      </c>
      <c r="P18" s="108">
        <f t="shared" si="5"/>
        <v>21182920</v>
      </c>
      <c r="Q18" s="108">
        <f t="shared" si="6"/>
        <v>635488</v>
      </c>
      <c r="R18" s="126">
        <f>IF(M18="","",HLOOKUP(D18,標準係数A!$E$4:$R$5,2,FALSE))</f>
        <v>7.6999999999999999E-2</v>
      </c>
      <c r="S18" s="108">
        <f t="shared" si="7"/>
        <v>1631084.84</v>
      </c>
      <c r="U18" s="136">
        <v>37987</v>
      </c>
      <c r="V18" s="137" t="s">
        <v>385</v>
      </c>
    </row>
    <row r="19" spans="2:22" ht="20" customHeight="1">
      <c r="B19" s="110">
        <v>14</v>
      </c>
      <c r="C19" s="112"/>
      <c r="D19" s="110" t="str">
        <f>IF(C19="","",_xlfn.XLOOKUP(C19,標準係数A!$3:$3,標準係数A!$4:$4, "IDなし", 0, 1))</f>
        <v/>
      </c>
      <c r="E19" s="114"/>
      <c r="F19" s="196"/>
      <c r="G19" s="110" t="str">
        <f t="shared" si="0"/>
        <v/>
      </c>
      <c r="H19" s="120" t="str">
        <f>IF(C19="","",INDEX(標準係数A!$E:$R, MATCH(償却資産!G19, 標準係数A!B:B, 0), MATCH(償却資産!D19, 標準係数A!$E$4:$R$4, 0)))</f>
        <v/>
      </c>
      <c r="I19" s="121" t="str">
        <f t="shared" si="1"/>
        <v/>
      </c>
      <c r="J19" s="140"/>
      <c r="K19" s="140"/>
      <c r="L19" s="140"/>
      <c r="M19" s="108" t="str">
        <f t="shared" si="2"/>
        <v/>
      </c>
      <c r="N19" s="108" t="str">
        <f t="shared" si="3"/>
        <v/>
      </c>
      <c r="O19" s="108" t="str">
        <f t="shared" si="4"/>
        <v/>
      </c>
      <c r="P19" s="108" t="str">
        <f t="shared" si="5"/>
        <v/>
      </c>
      <c r="Q19" s="108" t="str">
        <f t="shared" si="6"/>
        <v/>
      </c>
      <c r="R19" s="126" t="str">
        <f>IF(M19="","",HLOOKUP(D19,標準係数A!$E$4:$R$5,2,FALSE))</f>
        <v/>
      </c>
      <c r="S19" s="108" t="str">
        <f t="shared" si="7"/>
        <v/>
      </c>
      <c r="U19" s="136">
        <v>39209</v>
      </c>
      <c r="V19" s="137" t="s">
        <v>386</v>
      </c>
    </row>
    <row r="20" spans="2:22" ht="20" customHeight="1">
      <c r="B20" s="110">
        <v>15</v>
      </c>
      <c r="C20" s="112"/>
      <c r="D20" s="110" t="str">
        <f>IF(C20="","",_xlfn.XLOOKUP(C20,標準係数A!$3:$3,標準係数A!$4:$4, "IDなし", 0, 1))</f>
        <v/>
      </c>
      <c r="E20" s="114"/>
      <c r="F20" s="196"/>
      <c r="G20" s="110" t="str">
        <f t="shared" si="0"/>
        <v/>
      </c>
      <c r="H20" s="120" t="str">
        <f>IF(C20="","",INDEX(標準係数A!$E:$R, MATCH(償却資産!G20, 標準係数A!B:B, 0), MATCH(償却資産!D20, 標準係数A!$E$4:$R$4, 0)))</f>
        <v/>
      </c>
      <c r="I20" s="121" t="str">
        <f t="shared" si="1"/>
        <v/>
      </c>
      <c r="J20" s="140"/>
      <c r="K20" s="140"/>
      <c r="L20" s="140"/>
      <c r="M20" s="108" t="str">
        <f t="shared" si="2"/>
        <v/>
      </c>
      <c r="N20" s="108" t="str">
        <f t="shared" si="3"/>
        <v/>
      </c>
      <c r="O20" s="108" t="str">
        <f t="shared" si="4"/>
        <v/>
      </c>
      <c r="P20" s="108" t="str">
        <f t="shared" si="5"/>
        <v/>
      </c>
      <c r="Q20" s="108" t="str">
        <f t="shared" si="6"/>
        <v/>
      </c>
      <c r="R20" s="126" t="str">
        <f>IF(M20="","",HLOOKUP(D20,標準係数A!$E$4:$R$5,2,FALSE))</f>
        <v/>
      </c>
      <c r="S20" s="108" t="str">
        <f t="shared" si="7"/>
        <v/>
      </c>
      <c r="U20" s="136">
        <v>40269</v>
      </c>
      <c r="V20" s="137" t="s">
        <v>387</v>
      </c>
    </row>
    <row r="21" spans="2:22" ht="20" customHeight="1">
      <c r="B21" s="110">
        <v>16</v>
      </c>
      <c r="C21" s="112"/>
      <c r="D21" s="110" t="str">
        <f>IF(C21="","",_xlfn.XLOOKUP(C21,標準係数A!$3:$3,標準係数A!$4:$4, "IDなし", 0, 1))</f>
        <v/>
      </c>
      <c r="E21" s="114"/>
      <c r="F21" s="196"/>
      <c r="G21" s="110" t="str">
        <f t="shared" si="0"/>
        <v/>
      </c>
      <c r="H21" s="120" t="str">
        <f>IF(C21="","",INDEX(標準係数A!$E:$R, MATCH(償却資産!G21, 標準係数A!B:B, 0), MATCH(償却資産!D21, 標準係数A!$E$4:$R$4, 0)))</f>
        <v/>
      </c>
      <c r="I21" s="121" t="str">
        <f t="shared" si="1"/>
        <v/>
      </c>
      <c r="J21" s="140"/>
      <c r="K21" s="140"/>
      <c r="L21" s="140"/>
      <c r="M21" s="108" t="str">
        <f t="shared" si="2"/>
        <v/>
      </c>
      <c r="N21" s="108" t="str">
        <f t="shared" si="3"/>
        <v/>
      </c>
      <c r="O21" s="108" t="str">
        <f t="shared" si="4"/>
        <v/>
      </c>
      <c r="P21" s="108" t="str">
        <f t="shared" si="5"/>
        <v/>
      </c>
      <c r="Q21" s="108" t="str">
        <f t="shared" si="6"/>
        <v/>
      </c>
      <c r="R21" s="126" t="str">
        <f>IF(M21="","",HLOOKUP(D21,標準係数A!$E$4:$R$5,2,FALSE))</f>
        <v/>
      </c>
      <c r="S21" s="108" t="str">
        <f t="shared" si="7"/>
        <v/>
      </c>
      <c r="U21" s="136">
        <v>41365</v>
      </c>
      <c r="V21" s="137" t="s">
        <v>388</v>
      </c>
    </row>
    <row r="22" spans="2:22" ht="20" customHeight="1">
      <c r="B22" s="110">
        <v>17</v>
      </c>
      <c r="C22" s="112"/>
      <c r="D22" s="110" t="str">
        <f>IF(C22="","",_xlfn.XLOOKUP(C22,標準係数A!$3:$3,標準係数A!$4:$4, "IDなし", 0, 1))</f>
        <v/>
      </c>
      <c r="E22" s="114"/>
      <c r="F22" s="196"/>
      <c r="G22" s="110" t="str">
        <f t="shared" si="0"/>
        <v/>
      </c>
      <c r="H22" s="120" t="str">
        <f>IF(C22="","",INDEX(標準係数A!$E:$R, MATCH(償却資産!G22, 標準係数A!B:B, 0), MATCH(償却資産!D22, 標準係数A!$E$4:$R$4, 0)))</f>
        <v/>
      </c>
      <c r="I22" s="121" t="str">
        <f t="shared" si="1"/>
        <v/>
      </c>
      <c r="J22" s="140"/>
      <c r="K22" s="140"/>
      <c r="L22" s="140"/>
      <c r="M22" s="108" t="str">
        <f t="shared" si="2"/>
        <v/>
      </c>
      <c r="N22" s="108" t="str">
        <f t="shared" si="3"/>
        <v/>
      </c>
      <c r="O22" s="108" t="str">
        <f t="shared" si="4"/>
        <v/>
      </c>
      <c r="P22" s="108" t="str">
        <f t="shared" si="5"/>
        <v/>
      </c>
      <c r="Q22" s="108" t="str">
        <f t="shared" si="6"/>
        <v/>
      </c>
      <c r="R22" s="126" t="str">
        <f>IF(M22="","",HLOOKUP(D22,標準係数A!$E$4:$R$5,2,FALSE))</f>
        <v/>
      </c>
      <c r="S22" s="108" t="str">
        <f t="shared" si="7"/>
        <v/>
      </c>
      <c r="U22" s="136">
        <v>42826</v>
      </c>
      <c r="V22" s="137" t="s">
        <v>389</v>
      </c>
    </row>
    <row r="23" spans="2:22" ht="20" customHeight="1">
      <c r="B23" s="110">
        <v>18</v>
      </c>
      <c r="C23" s="112"/>
      <c r="D23" s="110" t="str">
        <f>IF(C23="","",_xlfn.XLOOKUP(C23,標準係数A!$3:$3,標準係数A!$4:$4, "IDなし", 0, 1))</f>
        <v/>
      </c>
      <c r="E23" s="114"/>
      <c r="F23" s="196"/>
      <c r="G23" s="110" t="str">
        <f t="shared" si="0"/>
        <v/>
      </c>
      <c r="H23" s="120" t="str">
        <f>IF(C23="","",INDEX(標準係数A!$E:$R, MATCH(償却資産!G23, 標準係数A!B:B, 0), MATCH(償却資産!D23, 標準係数A!$E$4:$R$4, 0)))</f>
        <v/>
      </c>
      <c r="I23" s="121" t="str">
        <f t="shared" si="1"/>
        <v/>
      </c>
      <c r="J23" s="140"/>
      <c r="K23" s="140"/>
      <c r="L23" s="140"/>
      <c r="M23" s="108" t="str">
        <f t="shared" si="2"/>
        <v/>
      </c>
      <c r="N23" s="108" t="str">
        <f t="shared" si="3"/>
        <v/>
      </c>
      <c r="O23" s="108" t="str">
        <f t="shared" si="4"/>
        <v/>
      </c>
      <c r="P23" s="108" t="str">
        <f t="shared" si="5"/>
        <v/>
      </c>
      <c r="Q23" s="108" t="str">
        <f t="shared" si="6"/>
        <v/>
      </c>
      <c r="R23" s="126" t="str">
        <f>IF(M23="","",HLOOKUP(D23,標準係数A!$E$4:$R$5,2,FALSE))</f>
        <v/>
      </c>
      <c r="S23" s="108" t="str">
        <f t="shared" si="7"/>
        <v/>
      </c>
      <c r="U23" s="136">
        <v>44034</v>
      </c>
      <c r="V23" s="137" t="s">
        <v>390</v>
      </c>
    </row>
    <row r="24" spans="2:22" ht="20" customHeight="1" thickBot="1">
      <c r="B24" s="110">
        <v>19</v>
      </c>
      <c r="C24" s="112"/>
      <c r="D24" s="110" t="str">
        <f>IF(C24="","",_xlfn.XLOOKUP(C24,標準係数A!$3:$3,標準係数A!$4:$4, "IDなし", 0, 1))</f>
        <v/>
      </c>
      <c r="E24" s="114"/>
      <c r="F24" s="196"/>
      <c r="G24" s="110" t="str">
        <f t="shared" si="0"/>
        <v/>
      </c>
      <c r="H24" s="120" t="str">
        <f>IF(C24="","",INDEX(標準係数A!$E:$R, MATCH(償却資産!G24, 標準係数A!B:B, 0), MATCH(償却資産!D24, 標準係数A!$E$4:$R$4, 0)))</f>
        <v/>
      </c>
      <c r="I24" s="121" t="str">
        <f t="shared" si="1"/>
        <v/>
      </c>
      <c r="J24" s="140"/>
      <c r="K24" s="140"/>
      <c r="L24" s="140"/>
      <c r="M24" s="108" t="str">
        <f t="shared" si="2"/>
        <v/>
      </c>
      <c r="N24" s="108" t="str">
        <f t="shared" si="3"/>
        <v/>
      </c>
      <c r="O24" s="108" t="str">
        <f t="shared" si="4"/>
        <v/>
      </c>
      <c r="P24" s="108" t="str">
        <f t="shared" si="5"/>
        <v/>
      </c>
      <c r="Q24" s="108" t="str">
        <f t="shared" si="6"/>
        <v/>
      </c>
      <c r="R24" s="126" t="str">
        <f>IF(M24="","",HLOOKUP(D24,標準係数A!$E$4:$R$5,2,FALSE))</f>
        <v/>
      </c>
      <c r="S24" s="108" t="str">
        <f t="shared" si="7"/>
        <v/>
      </c>
      <c r="U24" s="138">
        <v>45169</v>
      </c>
      <c r="V24" s="139" t="s">
        <v>391</v>
      </c>
    </row>
    <row r="25" spans="2:22" ht="20" customHeight="1">
      <c r="B25" s="110">
        <v>20</v>
      </c>
      <c r="C25" s="112"/>
      <c r="D25" s="110" t="str">
        <f>IF(C25="","",_xlfn.XLOOKUP(C25,標準係数A!$3:$3,標準係数A!$4:$4, "IDなし", 0, 1))</f>
        <v/>
      </c>
      <c r="E25" s="114"/>
      <c r="F25" s="196"/>
      <c r="G25" s="110" t="str">
        <f t="shared" si="0"/>
        <v/>
      </c>
      <c r="H25" s="120" t="str">
        <f>IF(C25="","",INDEX(標準係数A!$E:$R, MATCH(償却資産!G25, 標準係数A!B:B, 0), MATCH(償却資産!D25, 標準係数A!$E$4:$R$4, 0)))</f>
        <v/>
      </c>
      <c r="I25" s="121" t="str">
        <f t="shared" si="1"/>
        <v/>
      </c>
      <c r="J25" s="140"/>
      <c r="K25" s="140"/>
      <c r="L25" s="140"/>
      <c r="M25" s="108" t="str">
        <f t="shared" si="2"/>
        <v/>
      </c>
      <c r="N25" s="108" t="str">
        <f t="shared" si="3"/>
        <v/>
      </c>
      <c r="O25" s="108" t="str">
        <f t="shared" si="4"/>
        <v/>
      </c>
      <c r="P25" s="108" t="str">
        <f t="shared" si="5"/>
        <v/>
      </c>
      <c r="Q25" s="108" t="str">
        <f t="shared" si="6"/>
        <v/>
      </c>
      <c r="R25" s="126" t="str">
        <f>IF(M25="","",HLOOKUP(D25,標準係数A!$E$4:$R$5,2,FALSE))</f>
        <v/>
      </c>
      <c r="S25" s="108" t="str">
        <f t="shared" si="7"/>
        <v/>
      </c>
    </row>
    <row r="26" spans="2:22" ht="20" customHeight="1">
      <c r="B26" s="110">
        <v>21</v>
      </c>
      <c r="C26" s="112"/>
      <c r="D26" s="110" t="str">
        <f>IF(C26="","",_xlfn.XLOOKUP(C26,標準係数A!$3:$3,標準係数A!$4:$4, "IDなし", 0, 1))</f>
        <v/>
      </c>
      <c r="E26" s="114"/>
      <c r="F26" s="196"/>
      <c r="G26" s="110" t="str">
        <f t="shared" si="0"/>
        <v/>
      </c>
      <c r="H26" s="120" t="str">
        <f>IF(C26="","",INDEX(標準係数A!$E:$R, MATCH(償却資産!G26, 標準係数A!B:B, 0), MATCH(償却資産!D26, 標準係数A!$E$4:$R$4, 0)))</f>
        <v/>
      </c>
      <c r="I26" s="121" t="str">
        <f t="shared" si="1"/>
        <v/>
      </c>
      <c r="J26" s="140"/>
      <c r="K26" s="140"/>
      <c r="L26" s="140"/>
      <c r="M26" s="108" t="str">
        <f t="shared" si="2"/>
        <v/>
      </c>
      <c r="N26" s="108" t="str">
        <f t="shared" si="3"/>
        <v/>
      </c>
      <c r="O26" s="108" t="str">
        <f t="shared" si="4"/>
        <v/>
      </c>
      <c r="P26" s="108" t="str">
        <f t="shared" si="5"/>
        <v/>
      </c>
      <c r="Q26" s="108" t="str">
        <f t="shared" si="6"/>
        <v/>
      </c>
      <c r="R26" s="126" t="str">
        <f>IF(M26="","",HLOOKUP(D26,標準係数A!$E$4:$R$5,2,FALSE))</f>
        <v/>
      </c>
      <c r="S26" s="108" t="str">
        <f t="shared" si="7"/>
        <v/>
      </c>
    </row>
    <row r="27" spans="2:22" ht="20" customHeight="1">
      <c r="B27" s="110">
        <v>22</v>
      </c>
      <c r="C27" s="112"/>
      <c r="D27" s="110" t="str">
        <f>IF(C27="","",_xlfn.XLOOKUP(C27,標準係数A!$3:$3,標準係数A!$4:$4, "IDなし", 0, 1))</f>
        <v/>
      </c>
      <c r="E27" s="114"/>
      <c r="F27" s="196"/>
      <c r="G27" s="110" t="str">
        <f t="shared" ref="G27:G55" si="8">IF(F27="","",VLOOKUP(F27,$U$5:$V$24,2,TRUE))</f>
        <v/>
      </c>
      <c r="H27" s="120" t="str">
        <f>IF(C27="","",INDEX(標準係数A!$E:$R, MATCH(償却資産!G27, 標準係数A!B:B, 0), MATCH(償却資産!D27, 標準係数A!$E$4:$R$4, 0)))</f>
        <v/>
      </c>
      <c r="I27" s="121" t="str">
        <f t="shared" ref="I27:I55" si="9">IF(F27="","",IF(AND( F27 &lt;= DATE(2017,4,1), OR(D27="SGS",D27="DKK",D27="DPK",D27="DKT",D27="DPT",D27="SSB")),1,0))</f>
        <v/>
      </c>
      <c r="J27" s="140"/>
      <c r="K27" s="140"/>
      <c r="L27" s="140"/>
      <c r="M27" s="108" t="str">
        <f t="shared" ref="M27:M55" si="10">IF(E27="","",E27*H27)</f>
        <v/>
      </c>
      <c r="N27" s="108" t="str">
        <f t="shared" ref="N27:N55" si="11">IF(E27="","",IF(K27=0,M27,L27))</f>
        <v/>
      </c>
      <c r="O27" s="108" t="str">
        <f t="shared" ref="O27:O55" si="12">IF(E27="","",IF(P27=N27,0, N27))</f>
        <v/>
      </c>
      <c r="P27" s="108" t="str">
        <f t="shared" ref="P27:P55" si="13">IF(E27="","",IF(AND(I27=1, J27=1), N27, 0))</f>
        <v/>
      </c>
      <c r="Q27" s="108" t="str">
        <f t="shared" ref="Q27:Q55" si="14">IF(M27="","",ROUND(M27*$Q$4,0))</f>
        <v/>
      </c>
      <c r="R27" s="126" t="str">
        <f>IF(M27="","",HLOOKUP(D27,標準係数A!$E$4:$R$5,2,FALSE))</f>
        <v/>
      </c>
      <c r="S27" s="108" t="str">
        <f t="shared" ref="S27:S55" si="15">IF(N27="","",N27*R27)</f>
        <v/>
      </c>
    </row>
    <row r="28" spans="2:22" ht="20" customHeight="1">
      <c r="B28" s="110">
        <v>23</v>
      </c>
      <c r="C28" s="112"/>
      <c r="D28" s="110" t="str">
        <f>IF(C28="","",_xlfn.XLOOKUP(C28,標準係数A!$3:$3,標準係数A!$4:$4, "IDなし", 0, 1))</f>
        <v/>
      </c>
      <c r="E28" s="114"/>
      <c r="F28" s="196"/>
      <c r="G28" s="110" t="str">
        <f t="shared" si="8"/>
        <v/>
      </c>
      <c r="H28" s="120" t="str">
        <f>IF(C28="","",INDEX(標準係数A!$E:$R, MATCH(償却資産!G28, 標準係数A!B:B, 0), MATCH(償却資産!D28, 標準係数A!$E$4:$R$4, 0)))</f>
        <v/>
      </c>
      <c r="I28" s="121" t="str">
        <f t="shared" si="9"/>
        <v/>
      </c>
      <c r="J28" s="140"/>
      <c r="K28" s="140"/>
      <c r="L28" s="140"/>
      <c r="M28" s="108" t="str">
        <f t="shared" si="10"/>
        <v/>
      </c>
      <c r="N28" s="108" t="str">
        <f t="shared" si="11"/>
        <v/>
      </c>
      <c r="O28" s="108" t="str">
        <f t="shared" si="12"/>
        <v/>
      </c>
      <c r="P28" s="108" t="str">
        <f t="shared" si="13"/>
        <v/>
      </c>
      <c r="Q28" s="108" t="str">
        <f t="shared" si="14"/>
        <v/>
      </c>
      <c r="R28" s="126" t="str">
        <f>IF(M28="","",HLOOKUP(D28,標準係数A!$E$4:$R$5,2,FALSE))</f>
        <v/>
      </c>
      <c r="S28" s="108" t="str">
        <f t="shared" si="15"/>
        <v/>
      </c>
    </row>
    <row r="29" spans="2:22" ht="20" customHeight="1">
      <c r="B29" s="110">
        <v>24</v>
      </c>
      <c r="C29" s="112"/>
      <c r="D29" s="110" t="str">
        <f>IF(C29="","",_xlfn.XLOOKUP(C29,標準係数A!$3:$3,標準係数A!$4:$4, "IDなし", 0, 1))</f>
        <v/>
      </c>
      <c r="E29" s="114"/>
      <c r="F29" s="196"/>
      <c r="G29" s="110" t="str">
        <f t="shared" si="8"/>
        <v/>
      </c>
      <c r="H29" s="120" t="str">
        <f>IF(C29="","",INDEX(標準係数A!$E:$R, MATCH(償却資産!G29, 標準係数A!B:B, 0), MATCH(償却資産!D29, 標準係数A!$E$4:$R$4, 0)))</f>
        <v/>
      </c>
      <c r="I29" s="121" t="str">
        <f t="shared" si="9"/>
        <v/>
      </c>
      <c r="J29" s="140"/>
      <c r="K29" s="140"/>
      <c r="L29" s="140"/>
      <c r="M29" s="108" t="str">
        <f t="shared" si="10"/>
        <v/>
      </c>
      <c r="N29" s="108" t="str">
        <f t="shared" si="11"/>
        <v/>
      </c>
      <c r="O29" s="108" t="str">
        <f t="shared" si="12"/>
        <v/>
      </c>
      <c r="P29" s="108" t="str">
        <f t="shared" si="13"/>
        <v/>
      </c>
      <c r="Q29" s="108" t="str">
        <f t="shared" si="14"/>
        <v/>
      </c>
      <c r="R29" s="126" t="str">
        <f>IF(M29="","",HLOOKUP(D29,標準係数A!$E$4:$R$5,2,FALSE))</f>
        <v/>
      </c>
      <c r="S29" s="108" t="str">
        <f t="shared" si="15"/>
        <v/>
      </c>
    </row>
    <row r="30" spans="2:22" ht="20" customHeight="1">
      <c r="B30" s="110">
        <v>25</v>
      </c>
      <c r="C30" s="112"/>
      <c r="D30" s="110" t="str">
        <f>IF(C30="","",_xlfn.XLOOKUP(C30,標準係数A!$3:$3,標準係数A!$4:$4, "IDなし", 0, 1))</f>
        <v/>
      </c>
      <c r="E30" s="114"/>
      <c r="F30" s="196"/>
      <c r="G30" s="110" t="str">
        <f t="shared" si="8"/>
        <v/>
      </c>
      <c r="H30" s="120" t="str">
        <f>IF(C30="","",INDEX(標準係数A!$E:$R, MATCH(償却資産!G30, 標準係数A!B:B, 0), MATCH(償却資産!D30, 標準係数A!$E$4:$R$4, 0)))</f>
        <v/>
      </c>
      <c r="I30" s="121" t="str">
        <f t="shared" si="9"/>
        <v/>
      </c>
      <c r="J30" s="140"/>
      <c r="K30" s="140"/>
      <c r="L30" s="140"/>
      <c r="M30" s="108" t="str">
        <f t="shared" si="10"/>
        <v/>
      </c>
      <c r="N30" s="108" t="str">
        <f t="shared" si="11"/>
        <v/>
      </c>
      <c r="O30" s="108" t="str">
        <f t="shared" si="12"/>
        <v/>
      </c>
      <c r="P30" s="108" t="str">
        <f t="shared" si="13"/>
        <v/>
      </c>
      <c r="Q30" s="108" t="str">
        <f t="shared" si="14"/>
        <v/>
      </c>
      <c r="R30" s="126" t="str">
        <f>IF(M30="","",HLOOKUP(D30,標準係数A!$E$4:$R$5,2,FALSE))</f>
        <v/>
      </c>
      <c r="S30" s="108" t="str">
        <f t="shared" si="15"/>
        <v/>
      </c>
    </row>
    <row r="31" spans="2:22" ht="20" customHeight="1">
      <c r="B31" s="110">
        <v>26</v>
      </c>
      <c r="C31" s="112"/>
      <c r="D31" s="110" t="str">
        <f>IF(C31="","",_xlfn.XLOOKUP(C31,標準係数A!$3:$3,標準係数A!$4:$4, "IDなし", 0, 1))</f>
        <v/>
      </c>
      <c r="E31" s="114"/>
      <c r="F31" s="196"/>
      <c r="G31" s="110" t="str">
        <f t="shared" si="8"/>
        <v/>
      </c>
      <c r="H31" s="120" t="str">
        <f>IF(C31="","",INDEX(標準係数A!$E:$R, MATCH(償却資産!G31, 標準係数A!B:B, 0), MATCH(償却資産!D31, 標準係数A!$E$4:$R$4, 0)))</f>
        <v/>
      </c>
      <c r="I31" s="121" t="str">
        <f t="shared" si="9"/>
        <v/>
      </c>
      <c r="J31" s="140"/>
      <c r="K31" s="140"/>
      <c r="L31" s="140"/>
      <c r="M31" s="108" t="str">
        <f t="shared" si="10"/>
        <v/>
      </c>
      <c r="N31" s="108" t="str">
        <f t="shared" si="11"/>
        <v/>
      </c>
      <c r="O31" s="108" t="str">
        <f t="shared" si="12"/>
        <v/>
      </c>
      <c r="P31" s="108" t="str">
        <f t="shared" si="13"/>
        <v/>
      </c>
      <c r="Q31" s="108" t="str">
        <f t="shared" si="14"/>
        <v/>
      </c>
      <c r="R31" s="126" t="str">
        <f>IF(M31="","",HLOOKUP(D31,標準係数A!$E$4:$R$5,2,FALSE))</f>
        <v/>
      </c>
      <c r="S31" s="108" t="str">
        <f t="shared" si="15"/>
        <v/>
      </c>
    </row>
    <row r="32" spans="2:22" ht="20" customHeight="1">
      <c r="B32" s="110">
        <v>27</v>
      </c>
      <c r="C32" s="112"/>
      <c r="D32" s="110" t="str">
        <f>IF(C32="","",_xlfn.XLOOKUP(C32,標準係数A!$3:$3,標準係数A!$4:$4, "IDなし", 0, 1))</f>
        <v/>
      </c>
      <c r="E32" s="114"/>
      <c r="F32" s="196"/>
      <c r="G32" s="110" t="str">
        <f t="shared" si="8"/>
        <v/>
      </c>
      <c r="H32" s="120" t="str">
        <f>IF(C32="","",INDEX(標準係数A!$E:$R, MATCH(償却資産!G32, 標準係数A!B:B, 0), MATCH(償却資産!D32, 標準係数A!$E$4:$R$4, 0)))</f>
        <v/>
      </c>
      <c r="I32" s="121" t="str">
        <f t="shared" si="9"/>
        <v/>
      </c>
      <c r="J32" s="140"/>
      <c r="K32" s="140"/>
      <c r="L32" s="140"/>
      <c r="M32" s="108" t="str">
        <f t="shared" si="10"/>
        <v/>
      </c>
      <c r="N32" s="108" t="str">
        <f t="shared" si="11"/>
        <v/>
      </c>
      <c r="O32" s="108" t="str">
        <f t="shared" si="12"/>
        <v/>
      </c>
      <c r="P32" s="108" t="str">
        <f t="shared" si="13"/>
        <v/>
      </c>
      <c r="Q32" s="108" t="str">
        <f t="shared" si="14"/>
        <v/>
      </c>
      <c r="R32" s="126" t="str">
        <f>IF(M32="","",HLOOKUP(D32,標準係数A!$E$4:$R$5,2,FALSE))</f>
        <v/>
      </c>
      <c r="S32" s="108" t="str">
        <f t="shared" si="15"/>
        <v/>
      </c>
    </row>
    <row r="33" spans="2:19" ht="20" customHeight="1">
      <c r="B33" s="110">
        <v>28</v>
      </c>
      <c r="C33" s="112"/>
      <c r="D33" s="110" t="str">
        <f>IF(C33="","",_xlfn.XLOOKUP(C33,標準係数A!$3:$3,標準係数A!$4:$4, "IDなし", 0, 1))</f>
        <v/>
      </c>
      <c r="E33" s="114"/>
      <c r="F33" s="196"/>
      <c r="G33" s="110" t="str">
        <f t="shared" si="8"/>
        <v/>
      </c>
      <c r="H33" s="120" t="str">
        <f>IF(C33="","",INDEX(標準係数A!$E:$R, MATCH(償却資産!G33, 標準係数A!B:B, 0), MATCH(償却資産!D33, 標準係数A!$E$4:$R$4, 0)))</f>
        <v/>
      </c>
      <c r="I33" s="121" t="str">
        <f t="shared" si="9"/>
        <v/>
      </c>
      <c r="J33" s="140"/>
      <c r="K33" s="140"/>
      <c r="L33" s="140"/>
      <c r="M33" s="108" t="str">
        <f t="shared" si="10"/>
        <v/>
      </c>
      <c r="N33" s="108" t="str">
        <f t="shared" si="11"/>
        <v/>
      </c>
      <c r="O33" s="108" t="str">
        <f t="shared" si="12"/>
        <v/>
      </c>
      <c r="P33" s="108" t="str">
        <f t="shared" si="13"/>
        <v/>
      </c>
      <c r="Q33" s="108" t="str">
        <f t="shared" si="14"/>
        <v/>
      </c>
      <c r="R33" s="126" t="str">
        <f>IF(M33="","",HLOOKUP(D33,標準係数A!$E$4:$R$5,2,FALSE))</f>
        <v/>
      </c>
      <c r="S33" s="108" t="str">
        <f t="shared" si="15"/>
        <v/>
      </c>
    </row>
    <row r="34" spans="2:19" ht="20" customHeight="1">
      <c r="B34" s="110">
        <v>29</v>
      </c>
      <c r="C34" s="112"/>
      <c r="D34" s="110" t="str">
        <f>IF(C34="","",_xlfn.XLOOKUP(C34,標準係数A!$3:$3,標準係数A!$4:$4, "IDなし", 0, 1))</f>
        <v/>
      </c>
      <c r="E34" s="114"/>
      <c r="F34" s="196"/>
      <c r="G34" s="110" t="str">
        <f t="shared" si="8"/>
        <v/>
      </c>
      <c r="H34" s="120" t="str">
        <f>IF(C34="","",INDEX(標準係数A!$E:$R, MATCH(償却資産!G34, 標準係数A!B:B, 0), MATCH(償却資産!D34, 標準係数A!$E$4:$R$4, 0)))</f>
        <v/>
      </c>
      <c r="I34" s="121" t="str">
        <f t="shared" si="9"/>
        <v/>
      </c>
      <c r="J34" s="140"/>
      <c r="K34" s="140"/>
      <c r="L34" s="140"/>
      <c r="M34" s="108" t="str">
        <f t="shared" si="10"/>
        <v/>
      </c>
      <c r="N34" s="108" t="str">
        <f t="shared" si="11"/>
        <v/>
      </c>
      <c r="O34" s="108" t="str">
        <f t="shared" si="12"/>
        <v/>
      </c>
      <c r="P34" s="108" t="str">
        <f t="shared" si="13"/>
        <v/>
      </c>
      <c r="Q34" s="108" t="str">
        <f t="shared" si="14"/>
        <v/>
      </c>
      <c r="R34" s="126" t="str">
        <f>IF(M34="","",HLOOKUP(D34,標準係数A!$E$4:$R$5,2,FALSE))</f>
        <v/>
      </c>
      <c r="S34" s="108" t="str">
        <f t="shared" si="15"/>
        <v/>
      </c>
    </row>
    <row r="35" spans="2:19" ht="20" customHeight="1">
      <c r="B35" s="110">
        <v>30</v>
      </c>
      <c r="C35" s="112"/>
      <c r="D35" s="110" t="str">
        <f>IF(C35="","",_xlfn.XLOOKUP(C35,標準係数A!$3:$3,標準係数A!$4:$4, "IDなし", 0, 1))</f>
        <v/>
      </c>
      <c r="E35" s="114"/>
      <c r="F35" s="196"/>
      <c r="G35" s="110" t="str">
        <f t="shared" si="8"/>
        <v/>
      </c>
      <c r="H35" s="120" t="str">
        <f>IF(C35="","",INDEX(標準係数A!$E:$R, MATCH(償却資産!G35, 標準係数A!B:B, 0), MATCH(償却資産!D35, 標準係数A!$E$4:$R$4, 0)))</f>
        <v/>
      </c>
      <c r="I35" s="121" t="str">
        <f t="shared" si="9"/>
        <v/>
      </c>
      <c r="J35" s="140"/>
      <c r="K35" s="140"/>
      <c r="L35" s="140"/>
      <c r="M35" s="108" t="str">
        <f t="shared" si="10"/>
        <v/>
      </c>
      <c r="N35" s="108" t="str">
        <f t="shared" si="11"/>
        <v/>
      </c>
      <c r="O35" s="108" t="str">
        <f t="shared" si="12"/>
        <v/>
      </c>
      <c r="P35" s="108" t="str">
        <f t="shared" si="13"/>
        <v/>
      </c>
      <c r="Q35" s="108" t="str">
        <f t="shared" si="14"/>
        <v/>
      </c>
      <c r="R35" s="126" t="str">
        <f>IF(M35="","",HLOOKUP(D35,標準係数A!$E$4:$R$5,2,FALSE))</f>
        <v/>
      </c>
      <c r="S35" s="108" t="str">
        <f t="shared" si="15"/>
        <v/>
      </c>
    </row>
    <row r="36" spans="2:19" ht="20" customHeight="1">
      <c r="B36" s="110">
        <v>31</v>
      </c>
      <c r="C36" s="112"/>
      <c r="D36" s="110" t="str">
        <f>IF(C36="","",_xlfn.XLOOKUP(C36,標準係数A!$3:$3,標準係数A!$4:$4, "IDなし", 0, 1))</f>
        <v/>
      </c>
      <c r="E36" s="114"/>
      <c r="F36" s="196"/>
      <c r="G36" s="110" t="str">
        <f t="shared" si="8"/>
        <v/>
      </c>
      <c r="H36" s="120" t="str">
        <f>IF(C36="","",INDEX(標準係数A!$E:$R, MATCH(償却資産!G36, 標準係数A!B:B, 0), MATCH(償却資産!D36, 標準係数A!$E$4:$R$4, 0)))</f>
        <v/>
      </c>
      <c r="I36" s="121" t="str">
        <f t="shared" si="9"/>
        <v/>
      </c>
      <c r="J36" s="140"/>
      <c r="K36" s="140"/>
      <c r="L36" s="140"/>
      <c r="M36" s="108" t="str">
        <f t="shared" si="10"/>
        <v/>
      </c>
      <c r="N36" s="108" t="str">
        <f t="shared" si="11"/>
        <v/>
      </c>
      <c r="O36" s="108" t="str">
        <f t="shared" si="12"/>
        <v/>
      </c>
      <c r="P36" s="108" t="str">
        <f t="shared" si="13"/>
        <v/>
      </c>
      <c r="Q36" s="108" t="str">
        <f t="shared" si="14"/>
        <v/>
      </c>
      <c r="R36" s="126" t="str">
        <f>IF(M36="","",HLOOKUP(D36,標準係数A!$E$4:$R$5,2,FALSE))</f>
        <v/>
      </c>
      <c r="S36" s="108" t="str">
        <f t="shared" si="15"/>
        <v/>
      </c>
    </row>
    <row r="37" spans="2:19" ht="20" customHeight="1">
      <c r="B37" s="110">
        <v>32</v>
      </c>
      <c r="C37" s="112"/>
      <c r="D37" s="110" t="str">
        <f>IF(C37="","",_xlfn.XLOOKUP(C37,標準係数A!$3:$3,標準係数A!$4:$4, "IDなし", 0, 1))</f>
        <v/>
      </c>
      <c r="E37" s="114"/>
      <c r="F37" s="196"/>
      <c r="G37" s="110" t="str">
        <f t="shared" si="8"/>
        <v/>
      </c>
      <c r="H37" s="120" t="str">
        <f>IF(C37="","",INDEX(標準係数A!$E:$R, MATCH(償却資産!G37, 標準係数A!B:B, 0), MATCH(償却資産!D37, 標準係数A!$E$4:$R$4, 0)))</f>
        <v/>
      </c>
      <c r="I37" s="121" t="str">
        <f t="shared" si="9"/>
        <v/>
      </c>
      <c r="J37" s="140"/>
      <c r="K37" s="140"/>
      <c r="L37" s="140"/>
      <c r="M37" s="108" t="str">
        <f t="shared" si="10"/>
        <v/>
      </c>
      <c r="N37" s="108" t="str">
        <f t="shared" si="11"/>
        <v/>
      </c>
      <c r="O37" s="108" t="str">
        <f t="shared" si="12"/>
        <v/>
      </c>
      <c r="P37" s="108" t="str">
        <f t="shared" si="13"/>
        <v/>
      </c>
      <c r="Q37" s="108" t="str">
        <f t="shared" si="14"/>
        <v/>
      </c>
      <c r="R37" s="126" t="str">
        <f>IF(M37="","",HLOOKUP(D37,標準係数A!$E$4:$R$5,2,FALSE))</f>
        <v/>
      </c>
      <c r="S37" s="108" t="str">
        <f t="shared" si="15"/>
        <v/>
      </c>
    </row>
    <row r="38" spans="2:19" ht="20" customHeight="1">
      <c r="B38" s="110">
        <v>33</v>
      </c>
      <c r="C38" s="112"/>
      <c r="D38" s="110" t="str">
        <f>IF(C38="","",_xlfn.XLOOKUP(C38,標準係数A!$3:$3,標準係数A!$4:$4, "IDなし", 0, 1))</f>
        <v/>
      </c>
      <c r="E38" s="114"/>
      <c r="F38" s="196"/>
      <c r="G38" s="110" t="str">
        <f t="shared" si="8"/>
        <v/>
      </c>
      <c r="H38" s="120" t="str">
        <f>IF(C38="","",INDEX(標準係数A!$E:$R, MATCH(償却資産!G38, 標準係数A!B:B, 0), MATCH(償却資産!D38, 標準係数A!$E$4:$R$4, 0)))</f>
        <v/>
      </c>
      <c r="I38" s="121" t="str">
        <f t="shared" si="9"/>
        <v/>
      </c>
      <c r="J38" s="140"/>
      <c r="K38" s="140"/>
      <c r="L38" s="140"/>
      <c r="M38" s="108" t="str">
        <f t="shared" si="10"/>
        <v/>
      </c>
      <c r="N38" s="108" t="str">
        <f t="shared" si="11"/>
        <v/>
      </c>
      <c r="O38" s="108" t="str">
        <f t="shared" si="12"/>
        <v/>
      </c>
      <c r="P38" s="108" t="str">
        <f t="shared" si="13"/>
        <v/>
      </c>
      <c r="Q38" s="108" t="str">
        <f t="shared" si="14"/>
        <v/>
      </c>
      <c r="R38" s="126" t="str">
        <f>IF(M38="","",HLOOKUP(D38,標準係数A!$E$4:$R$5,2,FALSE))</f>
        <v/>
      </c>
      <c r="S38" s="108" t="str">
        <f t="shared" si="15"/>
        <v/>
      </c>
    </row>
    <row r="39" spans="2:19" ht="20" customHeight="1">
      <c r="B39" s="110">
        <v>34</v>
      </c>
      <c r="C39" s="112"/>
      <c r="D39" s="110" t="str">
        <f>IF(C39="","",_xlfn.XLOOKUP(C39,標準係数A!$3:$3,標準係数A!$4:$4, "IDなし", 0, 1))</f>
        <v/>
      </c>
      <c r="E39" s="114"/>
      <c r="F39" s="196"/>
      <c r="G39" s="110" t="str">
        <f t="shared" si="8"/>
        <v/>
      </c>
      <c r="H39" s="120" t="str">
        <f>IF(C39="","",INDEX(標準係数A!$E:$R, MATCH(償却資産!G39, 標準係数A!B:B, 0), MATCH(償却資産!D39, 標準係数A!$E$4:$R$4, 0)))</f>
        <v/>
      </c>
      <c r="I39" s="121" t="str">
        <f t="shared" si="9"/>
        <v/>
      </c>
      <c r="J39" s="140"/>
      <c r="K39" s="140"/>
      <c r="L39" s="140"/>
      <c r="M39" s="108" t="str">
        <f t="shared" si="10"/>
        <v/>
      </c>
      <c r="N39" s="108" t="str">
        <f t="shared" si="11"/>
        <v/>
      </c>
      <c r="O39" s="108" t="str">
        <f t="shared" si="12"/>
        <v/>
      </c>
      <c r="P39" s="108" t="str">
        <f t="shared" si="13"/>
        <v/>
      </c>
      <c r="Q39" s="108" t="str">
        <f t="shared" si="14"/>
        <v/>
      </c>
      <c r="R39" s="126" t="str">
        <f>IF(M39="","",HLOOKUP(D39,標準係数A!$E$4:$R$5,2,FALSE))</f>
        <v/>
      </c>
      <c r="S39" s="108" t="str">
        <f t="shared" si="15"/>
        <v/>
      </c>
    </row>
    <row r="40" spans="2:19" ht="20" customHeight="1">
      <c r="B40" s="110">
        <v>35</v>
      </c>
      <c r="C40" s="112"/>
      <c r="D40" s="110" t="str">
        <f>IF(C40="","",_xlfn.XLOOKUP(C40,標準係数A!$3:$3,標準係数A!$4:$4, "IDなし", 0, 1))</f>
        <v/>
      </c>
      <c r="E40" s="114"/>
      <c r="F40" s="196"/>
      <c r="G40" s="110" t="str">
        <f t="shared" si="8"/>
        <v/>
      </c>
      <c r="H40" s="120" t="str">
        <f>IF(C40="","",INDEX(標準係数A!$E:$R, MATCH(償却資産!G40, 標準係数A!B:B, 0), MATCH(償却資産!D40, 標準係数A!$E$4:$R$4, 0)))</f>
        <v/>
      </c>
      <c r="I40" s="121" t="str">
        <f t="shared" si="9"/>
        <v/>
      </c>
      <c r="J40" s="140"/>
      <c r="K40" s="140"/>
      <c r="L40" s="140"/>
      <c r="M40" s="108" t="str">
        <f t="shared" si="10"/>
        <v/>
      </c>
      <c r="N40" s="108" t="str">
        <f t="shared" si="11"/>
        <v/>
      </c>
      <c r="O40" s="108" t="str">
        <f t="shared" si="12"/>
        <v/>
      </c>
      <c r="P40" s="108" t="str">
        <f t="shared" si="13"/>
        <v/>
      </c>
      <c r="Q40" s="108" t="str">
        <f t="shared" si="14"/>
        <v/>
      </c>
      <c r="R40" s="126" t="str">
        <f>IF(M40="","",HLOOKUP(D40,標準係数A!$E$4:$R$5,2,FALSE))</f>
        <v/>
      </c>
      <c r="S40" s="108" t="str">
        <f t="shared" si="15"/>
        <v/>
      </c>
    </row>
    <row r="41" spans="2:19" ht="20" customHeight="1">
      <c r="B41" s="110">
        <v>36</v>
      </c>
      <c r="C41" s="112"/>
      <c r="D41" s="110" t="str">
        <f>IF(C41="","",_xlfn.XLOOKUP(C41,標準係数A!$3:$3,標準係数A!$4:$4, "IDなし", 0, 1))</f>
        <v/>
      </c>
      <c r="E41" s="114"/>
      <c r="F41" s="196"/>
      <c r="G41" s="110" t="str">
        <f t="shared" si="8"/>
        <v/>
      </c>
      <c r="H41" s="120" t="str">
        <f>IF(C41="","",INDEX(標準係数A!$E:$R, MATCH(償却資産!G41, 標準係数A!B:B, 0), MATCH(償却資産!D41, 標準係数A!$E$4:$R$4, 0)))</f>
        <v/>
      </c>
      <c r="I41" s="121" t="str">
        <f t="shared" si="9"/>
        <v/>
      </c>
      <c r="J41" s="140"/>
      <c r="K41" s="140"/>
      <c r="L41" s="140"/>
      <c r="M41" s="108" t="str">
        <f t="shared" si="10"/>
        <v/>
      </c>
      <c r="N41" s="108" t="str">
        <f t="shared" si="11"/>
        <v/>
      </c>
      <c r="O41" s="108" t="str">
        <f t="shared" si="12"/>
        <v/>
      </c>
      <c r="P41" s="108" t="str">
        <f t="shared" si="13"/>
        <v/>
      </c>
      <c r="Q41" s="108" t="str">
        <f t="shared" si="14"/>
        <v/>
      </c>
      <c r="R41" s="126" t="str">
        <f>IF(M41="","",HLOOKUP(D41,標準係数A!$E$4:$R$5,2,FALSE))</f>
        <v/>
      </c>
      <c r="S41" s="108" t="str">
        <f t="shared" si="15"/>
        <v/>
      </c>
    </row>
    <row r="42" spans="2:19" ht="20" customHeight="1">
      <c r="B42" s="110">
        <v>37</v>
      </c>
      <c r="C42" s="112"/>
      <c r="D42" s="110" t="str">
        <f>IF(C42="","",_xlfn.XLOOKUP(C42,標準係数A!$3:$3,標準係数A!$4:$4, "IDなし", 0, 1))</f>
        <v/>
      </c>
      <c r="E42" s="114"/>
      <c r="F42" s="196"/>
      <c r="G42" s="110" t="str">
        <f t="shared" si="8"/>
        <v/>
      </c>
      <c r="H42" s="120" t="str">
        <f>IF(C42="","",INDEX(標準係数A!$E:$R, MATCH(償却資産!G42, 標準係数A!B:B, 0), MATCH(償却資産!D42, 標準係数A!$E$4:$R$4, 0)))</f>
        <v/>
      </c>
      <c r="I42" s="121" t="str">
        <f t="shared" si="9"/>
        <v/>
      </c>
      <c r="J42" s="140"/>
      <c r="K42" s="140"/>
      <c r="L42" s="140"/>
      <c r="M42" s="108" t="str">
        <f t="shared" si="10"/>
        <v/>
      </c>
      <c r="N42" s="108" t="str">
        <f t="shared" si="11"/>
        <v/>
      </c>
      <c r="O42" s="108" t="str">
        <f t="shared" si="12"/>
        <v/>
      </c>
      <c r="P42" s="108" t="str">
        <f t="shared" si="13"/>
        <v/>
      </c>
      <c r="Q42" s="108" t="str">
        <f t="shared" si="14"/>
        <v/>
      </c>
      <c r="R42" s="126" t="str">
        <f>IF(M42="","",HLOOKUP(D42,標準係数A!$E$4:$R$5,2,FALSE))</f>
        <v/>
      </c>
      <c r="S42" s="108" t="str">
        <f t="shared" si="15"/>
        <v/>
      </c>
    </row>
    <row r="43" spans="2:19" ht="20" customHeight="1">
      <c r="B43" s="110">
        <v>38</v>
      </c>
      <c r="C43" s="112"/>
      <c r="D43" s="110" t="str">
        <f>IF(C43="","",_xlfn.XLOOKUP(C43,標準係数A!$3:$3,標準係数A!$4:$4, "IDなし", 0, 1))</f>
        <v/>
      </c>
      <c r="E43" s="114"/>
      <c r="F43" s="196"/>
      <c r="G43" s="110" t="str">
        <f t="shared" si="8"/>
        <v/>
      </c>
      <c r="H43" s="120" t="str">
        <f>IF(C43="","",INDEX(標準係数A!$E:$R, MATCH(償却資産!G43, 標準係数A!B:B, 0), MATCH(償却資産!D43, 標準係数A!$E$4:$R$4, 0)))</f>
        <v/>
      </c>
      <c r="I43" s="121" t="str">
        <f t="shared" si="9"/>
        <v/>
      </c>
      <c r="J43" s="140"/>
      <c r="K43" s="140"/>
      <c r="L43" s="140"/>
      <c r="M43" s="108" t="str">
        <f t="shared" si="10"/>
        <v/>
      </c>
      <c r="N43" s="108" t="str">
        <f t="shared" si="11"/>
        <v/>
      </c>
      <c r="O43" s="108" t="str">
        <f t="shared" si="12"/>
        <v/>
      </c>
      <c r="P43" s="108" t="str">
        <f t="shared" si="13"/>
        <v/>
      </c>
      <c r="Q43" s="108" t="str">
        <f t="shared" si="14"/>
        <v/>
      </c>
      <c r="R43" s="126" t="str">
        <f>IF(M43="","",HLOOKUP(D43,標準係数A!$E$4:$R$5,2,FALSE))</f>
        <v/>
      </c>
      <c r="S43" s="108" t="str">
        <f t="shared" si="15"/>
        <v/>
      </c>
    </row>
    <row r="44" spans="2:19" ht="20" customHeight="1">
      <c r="B44" s="110">
        <v>39</v>
      </c>
      <c r="C44" s="112"/>
      <c r="D44" s="110" t="str">
        <f>IF(C44="","",_xlfn.XLOOKUP(C44,標準係数A!$3:$3,標準係数A!$4:$4, "IDなし", 0, 1))</f>
        <v/>
      </c>
      <c r="E44" s="114"/>
      <c r="F44" s="196"/>
      <c r="G44" s="110" t="str">
        <f t="shared" si="8"/>
        <v/>
      </c>
      <c r="H44" s="120" t="str">
        <f>IF(C44="","",INDEX(標準係数A!$E:$R, MATCH(償却資産!G44, 標準係数A!B:B, 0), MATCH(償却資産!D44, 標準係数A!$E$4:$R$4, 0)))</f>
        <v/>
      </c>
      <c r="I44" s="121" t="str">
        <f t="shared" si="9"/>
        <v/>
      </c>
      <c r="J44" s="140"/>
      <c r="K44" s="140"/>
      <c r="L44" s="140"/>
      <c r="M44" s="108" t="str">
        <f t="shared" si="10"/>
        <v/>
      </c>
      <c r="N44" s="108" t="str">
        <f t="shared" si="11"/>
        <v/>
      </c>
      <c r="O44" s="108" t="str">
        <f t="shared" si="12"/>
        <v/>
      </c>
      <c r="P44" s="108" t="str">
        <f t="shared" si="13"/>
        <v/>
      </c>
      <c r="Q44" s="108" t="str">
        <f t="shared" si="14"/>
        <v/>
      </c>
      <c r="R44" s="126" t="str">
        <f>IF(M44="","",HLOOKUP(D44,標準係数A!$E$4:$R$5,2,FALSE))</f>
        <v/>
      </c>
      <c r="S44" s="108" t="str">
        <f t="shared" si="15"/>
        <v/>
      </c>
    </row>
    <row r="45" spans="2:19" ht="20" customHeight="1">
      <c r="B45" s="110">
        <v>40</v>
      </c>
      <c r="C45" s="112"/>
      <c r="D45" s="110" t="str">
        <f>IF(C45="","",_xlfn.XLOOKUP(C45,標準係数A!$3:$3,標準係数A!$4:$4, "IDなし", 0, 1))</f>
        <v/>
      </c>
      <c r="E45" s="114"/>
      <c r="F45" s="196"/>
      <c r="G45" s="110" t="str">
        <f t="shared" si="8"/>
        <v/>
      </c>
      <c r="H45" s="120" t="str">
        <f>IF(C45="","",INDEX(標準係数A!$E:$R, MATCH(償却資産!G45, 標準係数A!B:B, 0), MATCH(償却資産!D45, 標準係数A!$E$4:$R$4, 0)))</f>
        <v/>
      </c>
      <c r="I45" s="121" t="str">
        <f t="shared" si="9"/>
        <v/>
      </c>
      <c r="J45" s="140"/>
      <c r="K45" s="140"/>
      <c r="L45" s="140"/>
      <c r="M45" s="108" t="str">
        <f t="shared" si="10"/>
        <v/>
      </c>
      <c r="N45" s="108" t="str">
        <f t="shared" si="11"/>
        <v/>
      </c>
      <c r="O45" s="108" t="str">
        <f t="shared" si="12"/>
        <v/>
      </c>
      <c r="P45" s="108" t="str">
        <f t="shared" si="13"/>
        <v/>
      </c>
      <c r="Q45" s="108" t="str">
        <f t="shared" si="14"/>
        <v/>
      </c>
      <c r="R45" s="126" t="str">
        <f>IF(M45="","",HLOOKUP(D45,標準係数A!$E$4:$R$5,2,FALSE))</f>
        <v/>
      </c>
      <c r="S45" s="108" t="str">
        <f t="shared" si="15"/>
        <v/>
      </c>
    </row>
    <row r="46" spans="2:19" ht="20" customHeight="1">
      <c r="B46" s="110">
        <v>41</v>
      </c>
      <c r="C46" s="112"/>
      <c r="D46" s="110" t="str">
        <f>IF(C46="","",_xlfn.XLOOKUP(C46,標準係数A!$3:$3,標準係数A!$4:$4, "IDなし", 0, 1))</f>
        <v/>
      </c>
      <c r="E46" s="114"/>
      <c r="F46" s="196"/>
      <c r="G46" s="110" t="str">
        <f t="shared" si="8"/>
        <v/>
      </c>
      <c r="H46" s="120" t="str">
        <f>IF(C46="","",INDEX(標準係数A!$E:$R, MATCH(償却資産!G46, 標準係数A!B:B, 0), MATCH(償却資産!D46, 標準係数A!$E$4:$R$4, 0)))</f>
        <v/>
      </c>
      <c r="I46" s="121" t="str">
        <f t="shared" si="9"/>
        <v/>
      </c>
      <c r="J46" s="140"/>
      <c r="K46" s="140"/>
      <c r="L46" s="140"/>
      <c r="M46" s="108" t="str">
        <f t="shared" si="10"/>
        <v/>
      </c>
      <c r="N46" s="108" t="str">
        <f t="shared" si="11"/>
        <v/>
      </c>
      <c r="O46" s="108" t="str">
        <f t="shared" si="12"/>
        <v/>
      </c>
      <c r="P46" s="108" t="str">
        <f t="shared" si="13"/>
        <v/>
      </c>
      <c r="Q46" s="108" t="str">
        <f t="shared" si="14"/>
        <v/>
      </c>
      <c r="R46" s="126" t="str">
        <f>IF(M46="","",HLOOKUP(D46,標準係数A!$E$4:$R$5,2,FALSE))</f>
        <v/>
      </c>
      <c r="S46" s="108" t="str">
        <f t="shared" si="15"/>
        <v/>
      </c>
    </row>
    <row r="47" spans="2:19" ht="20" customHeight="1">
      <c r="B47" s="110">
        <v>42</v>
      </c>
      <c r="C47" s="112"/>
      <c r="D47" s="110" t="str">
        <f>IF(C47="","",_xlfn.XLOOKUP(C47,標準係数A!$3:$3,標準係数A!$4:$4, "IDなし", 0, 1))</f>
        <v/>
      </c>
      <c r="E47" s="114"/>
      <c r="F47" s="196"/>
      <c r="G47" s="110" t="str">
        <f t="shared" si="8"/>
        <v/>
      </c>
      <c r="H47" s="120" t="str">
        <f>IF(C47="","",INDEX(標準係数A!$E:$R, MATCH(償却資産!G47, 標準係数A!B:B, 0), MATCH(償却資産!D47, 標準係数A!$E$4:$R$4, 0)))</f>
        <v/>
      </c>
      <c r="I47" s="121" t="str">
        <f t="shared" si="9"/>
        <v/>
      </c>
      <c r="J47" s="140"/>
      <c r="K47" s="140"/>
      <c r="L47" s="140"/>
      <c r="M47" s="108" t="str">
        <f t="shared" si="10"/>
        <v/>
      </c>
      <c r="N47" s="108" t="str">
        <f t="shared" si="11"/>
        <v/>
      </c>
      <c r="O47" s="108" t="str">
        <f t="shared" si="12"/>
        <v/>
      </c>
      <c r="P47" s="108" t="str">
        <f t="shared" si="13"/>
        <v/>
      </c>
      <c r="Q47" s="108" t="str">
        <f t="shared" si="14"/>
        <v/>
      </c>
      <c r="R47" s="126" t="str">
        <f>IF(M47="","",HLOOKUP(D47,標準係数A!$E$4:$R$5,2,FALSE))</f>
        <v/>
      </c>
      <c r="S47" s="108" t="str">
        <f t="shared" si="15"/>
        <v/>
      </c>
    </row>
    <row r="48" spans="2:19" ht="20" customHeight="1">
      <c r="B48" s="110">
        <v>43</v>
      </c>
      <c r="C48" s="112"/>
      <c r="D48" s="110" t="str">
        <f>IF(C48="","",_xlfn.XLOOKUP(C48,標準係数A!$3:$3,標準係数A!$4:$4, "IDなし", 0, 1))</f>
        <v/>
      </c>
      <c r="E48" s="114"/>
      <c r="F48" s="196"/>
      <c r="G48" s="110" t="str">
        <f t="shared" si="8"/>
        <v/>
      </c>
      <c r="H48" s="120" t="str">
        <f>IF(C48="","",INDEX(標準係数A!$E:$R, MATCH(償却資産!G48, 標準係数A!B:B, 0), MATCH(償却資産!D48, 標準係数A!$E$4:$R$4, 0)))</f>
        <v/>
      </c>
      <c r="I48" s="121" t="str">
        <f t="shared" si="9"/>
        <v/>
      </c>
      <c r="J48" s="140"/>
      <c r="K48" s="140"/>
      <c r="L48" s="140"/>
      <c r="M48" s="108" t="str">
        <f t="shared" si="10"/>
        <v/>
      </c>
      <c r="N48" s="108" t="str">
        <f t="shared" si="11"/>
        <v/>
      </c>
      <c r="O48" s="108" t="str">
        <f t="shared" si="12"/>
        <v/>
      </c>
      <c r="P48" s="108" t="str">
        <f t="shared" si="13"/>
        <v/>
      </c>
      <c r="Q48" s="108" t="str">
        <f t="shared" si="14"/>
        <v/>
      </c>
      <c r="R48" s="126" t="str">
        <f>IF(M48="","",HLOOKUP(D48,標準係数A!$E$4:$R$5,2,FALSE))</f>
        <v/>
      </c>
      <c r="S48" s="108" t="str">
        <f t="shared" si="15"/>
        <v/>
      </c>
    </row>
    <row r="49" spans="2:19" ht="20" customHeight="1">
      <c r="B49" s="110">
        <v>44</v>
      </c>
      <c r="C49" s="112"/>
      <c r="D49" s="110" t="str">
        <f>IF(C49="","",_xlfn.XLOOKUP(C49,標準係数A!$3:$3,標準係数A!$4:$4, "IDなし", 0, 1))</f>
        <v/>
      </c>
      <c r="E49" s="114"/>
      <c r="F49" s="196"/>
      <c r="G49" s="110" t="str">
        <f t="shared" si="8"/>
        <v/>
      </c>
      <c r="H49" s="120" t="str">
        <f>IF(C49="","",INDEX(標準係数A!$E:$R, MATCH(償却資産!G49, 標準係数A!B:B, 0), MATCH(償却資産!D49, 標準係数A!$E$4:$R$4, 0)))</f>
        <v/>
      </c>
      <c r="I49" s="121" t="str">
        <f t="shared" si="9"/>
        <v/>
      </c>
      <c r="J49" s="140"/>
      <c r="K49" s="140"/>
      <c r="L49" s="140"/>
      <c r="M49" s="108" t="str">
        <f t="shared" si="10"/>
        <v/>
      </c>
      <c r="N49" s="108" t="str">
        <f t="shared" si="11"/>
        <v/>
      </c>
      <c r="O49" s="108" t="str">
        <f t="shared" si="12"/>
        <v/>
      </c>
      <c r="P49" s="108" t="str">
        <f t="shared" si="13"/>
        <v/>
      </c>
      <c r="Q49" s="108" t="str">
        <f t="shared" si="14"/>
        <v/>
      </c>
      <c r="R49" s="126" t="str">
        <f>IF(M49="","",HLOOKUP(D49,標準係数A!$E$4:$R$5,2,FALSE))</f>
        <v/>
      </c>
      <c r="S49" s="108" t="str">
        <f t="shared" si="15"/>
        <v/>
      </c>
    </row>
    <row r="50" spans="2:19" ht="20" customHeight="1">
      <c r="B50" s="110">
        <v>45</v>
      </c>
      <c r="C50" s="112"/>
      <c r="D50" s="110" t="str">
        <f>IF(C50="","",_xlfn.XLOOKUP(C50,標準係数A!$3:$3,標準係数A!$4:$4, "IDなし", 0, 1))</f>
        <v/>
      </c>
      <c r="E50" s="114"/>
      <c r="F50" s="196"/>
      <c r="G50" s="110" t="str">
        <f t="shared" si="8"/>
        <v/>
      </c>
      <c r="H50" s="120" t="str">
        <f>IF(C50="","",INDEX(標準係数A!$E:$R, MATCH(償却資産!G50, 標準係数A!B:B, 0), MATCH(償却資産!D50, 標準係数A!$E$4:$R$4, 0)))</f>
        <v/>
      </c>
      <c r="I50" s="121" t="str">
        <f t="shared" si="9"/>
        <v/>
      </c>
      <c r="J50" s="140"/>
      <c r="K50" s="140"/>
      <c r="L50" s="140"/>
      <c r="M50" s="108" t="str">
        <f t="shared" si="10"/>
        <v/>
      </c>
      <c r="N50" s="108" t="str">
        <f t="shared" si="11"/>
        <v/>
      </c>
      <c r="O50" s="108" t="str">
        <f t="shared" si="12"/>
        <v/>
      </c>
      <c r="P50" s="108" t="str">
        <f t="shared" si="13"/>
        <v/>
      </c>
      <c r="Q50" s="108" t="str">
        <f t="shared" si="14"/>
        <v/>
      </c>
      <c r="R50" s="126" t="str">
        <f>IF(M50="","",HLOOKUP(D50,標準係数A!$E$4:$R$5,2,FALSE))</f>
        <v/>
      </c>
      <c r="S50" s="108" t="str">
        <f t="shared" si="15"/>
        <v/>
      </c>
    </row>
    <row r="51" spans="2:19" ht="20" customHeight="1">
      <c r="B51" s="110">
        <v>46</v>
      </c>
      <c r="C51" s="112"/>
      <c r="D51" s="110" t="str">
        <f>IF(C51="","",_xlfn.XLOOKUP(C51,標準係数A!$3:$3,標準係数A!$4:$4, "IDなし", 0, 1))</f>
        <v/>
      </c>
      <c r="E51" s="114"/>
      <c r="F51" s="196"/>
      <c r="G51" s="110" t="str">
        <f t="shared" si="8"/>
        <v/>
      </c>
      <c r="H51" s="120" t="str">
        <f>IF(C51="","",INDEX(標準係数A!$E:$R, MATCH(償却資産!G51, 標準係数A!B:B, 0), MATCH(償却資産!D51, 標準係数A!$E$4:$R$4, 0)))</f>
        <v/>
      </c>
      <c r="I51" s="121" t="str">
        <f t="shared" si="9"/>
        <v/>
      </c>
      <c r="J51" s="140"/>
      <c r="K51" s="140"/>
      <c r="L51" s="140"/>
      <c r="M51" s="108" t="str">
        <f t="shared" si="10"/>
        <v/>
      </c>
      <c r="N51" s="108" t="str">
        <f t="shared" si="11"/>
        <v/>
      </c>
      <c r="O51" s="108" t="str">
        <f t="shared" si="12"/>
        <v/>
      </c>
      <c r="P51" s="108" t="str">
        <f t="shared" si="13"/>
        <v/>
      </c>
      <c r="Q51" s="108" t="str">
        <f t="shared" si="14"/>
        <v/>
      </c>
      <c r="R51" s="126" t="str">
        <f>IF(M51="","",HLOOKUP(D51,標準係数A!$E$4:$R$5,2,FALSE))</f>
        <v/>
      </c>
      <c r="S51" s="108" t="str">
        <f t="shared" si="15"/>
        <v/>
      </c>
    </row>
    <row r="52" spans="2:19" ht="20" customHeight="1">
      <c r="B52" s="110">
        <v>47</v>
      </c>
      <c r="C52" s="112"/>
      <c r="D52" s="110" t="str">
        <f>IF(C52="","",_xlfn.XLOOKUP(C52,標準係数A!$3:$3,標準係数A!$4:$4, "IDなし", 0, 1))</f>
        <v/>
      </c>
      <c r="E52" s="114"/>
      <c r="F52" s="196"/>
      <c r="G52" s="110" t="str">
        <f t="shared" si="8"/>
        <v/>
      </c>
      <c r="H52" s="120" t="str">
        <f>IF(C52="","",INDEX(標準係数A!$E:$R, MATCH(償却資産!G52, 標準係数A!B:B, 0), MATCH(償却資産!D52, 標準係数A!$E$4:$R$4, 0)))</f>
        <v/>
      </c>
      <c r="I52" s="121" t="str">
        <f t="shared" si="9"/>
        <v/>
      </c>
      <c r="J52" s="140"/>
      <c r="K52" s="140"/>
      <c r="L52" s="140"/>
      <c r="M52" s="108" t="str">
        <f t="shared" si="10"/>
        <v/>
      </c>
      <c r="N52" s="108" t="str">
        <f t="shared" si="11"/>
        <v/>
      </c>
      <c r="O52" s="108" t="str">
        <f t="shared" si="12"/>
        <v/>
      </c>
      <c r="P52" s="108" t="str">
        <f t="shared" si="13"/>
        <v/>
      </c>
      <c r="Q52" s="108" t="str">
        <f t="shared" si="14"/>
        <v/>
      </c>
      <c r="R52" s="126" t="str">
        <f>IF(M52="","",HLOOKUP(D52,標準係数A!$E$4:$R$5,2,FALSE))</f>
        <v/>
      </c>
      <c r="S52" s="108" t="str">
        <f t="shared" si="15"/>
        <v/>
      </c>
    </row>
    <row r="53" spans="2:19" ht="20" customHeight="1">
      <c r="B53" s="110">
        <v>48</v>
      </c>
      <c r="C53" s="112"/>
      <c r="D53" s="110" t="str">
        <f>IF(C53="","",_xlfn.XLOOKUP(C53,標準係数A!$3:$3,標準係数A!$4:$4, "IDなし", 0, 1))</f>
        <v/>
      </c>
      <c r="E53" s="114"/>
      <c r="F53" s="196"/>
      <c r="G53" s="110" t="str">
        <f t="shared" si="8"/>
        <v/>
      </c>
      <c r="H53" s="120" t="str">
        <f>IF(C53="","",INDEX(標準係数A!$E:$R, MATCH(償却資産!G53, 標準係数A!B:B, 0), MATCH(償却資産!D53, 標準係数A!$E$4:$R$4, 0)))</f>
        <v/>
      </c>
      <c r="I53" s="121" t="str">
        <f t="shared" si="9"/>
        <v/>
      </c>
      <c r="J53" s="140"/>
      <c r="K53" s="140"/>
      <c r="L53" s="140"/>
      <c r="M53" s="108" t="str">
        <f t="shared" si="10"/>
        <v/>
      </c>
      <c r="N53" s="108" t="str">
        <f t="shared" si="11"/>
        <v/>
      </c>
      <c r="O53" s="108" t="str">
        <f t="shared" si="12"/>
        <v/>
      </c>
      <c r="P53" s="108" t="str">
        <f t="shared" si="13"/>
        <v/>
      </c>
      <c r="Q53" s="108" t="str">
        <f t="shared" si="14"/>
        <v/>
      </c>
      <c r="R53" s="126" t="str">
        <f>IF(M53="","",HLOOKUP(D53,標準係数A!$E$4:$R$5,2,FALSE))</f>
        <v/>
      </c>
      <c r="S53" s="108" t="str">
        <f t="shared" si="15"/>
        <v/>
      </c>
    </row>
    <row r="54" spans="2:19" ht="20" customHeight="1">
      <c r="B54" s="110">
        <v>49</v>
      </c>
      <c r="C54" s="112"/>
      <c r="D54" s="110" t="str">
        <f>IF(C54="","",_xlfn.XLOOKUP(C54,標準係数A!$3:$3,標準係数A!$4:$4, "IDなし", 0, 1))</f>
        <v/>
      </c>
      <c r="E54" s="114"/>
      <c r="F54" s="196"/>
      <c r="G54" s="110" t="str">
        <f t="shared" si="8"/>
        <v/>
      </c>
      <c r="H54" s="120" t="str">
        <f>IF(C54="","",INDEX(標準係数A!$E:$R, MATCH(償却資産!G54, 標準係数A!B:B, 0), MATCH(償却資産!D54, 標準係数A!$E$4:$R$4, 0)))</f>
        <v/>
      </c>
      <c r="I54" s="121" t="str">
        <f t="shared" si="9"/>
        <v/>
      </c>
      <c r="J54" s="140"/>
      <c r="K54" s="140"/>
      <c r="L54" s="140"/>
      <c r="M54" s="108" t="str">
        <f t="shared" si="10"/>
        <v/>
      </c>
      <c r="N54" s="108" t="str">
        <f t="shared" si="11"/>
        <v/>
      </c>
      <c r="O54" s="108" t="str">
        <f t="shared" si="12"/>
        <v/>
      </c>
      <c r="P54" s="108" t="str">
        <f t="shared" si="13"/>
        <v/>
      </c>
      <c r="Q54" s="108" t="str">
        <f t="shared" si="14"/>
        <v/>
      </c>
      <c r="R54" s="126" t="str">
        <f>IF(M54="","",HLOOKUP(D54,標準係数A!$E$4:$R$5,2,FALSE))</f>
        <v/>
      </c>
      <c r="S54" s="108" t="str">
        <f t="shared" si="15"/>
        <v/>
      </c>
    </row>
    <row r="55" spans="2:19" ht="20" customHeight="1">
      <c r="B55" s="110">
        <v>50</v>
      </c>
      <c r="C55" s="112"/>
      <c r="D55" s="110" t="str">
        <f>IF(C55="","",_xlfn.XLOOKUP(C55,標準係数A!$3:$3,標準係数A!$4:$4, "IDなし", 0, 1))</f>
        <v/>
      </c>
      <c r="E55" s="114"/>
      <c r="F55" s="196"/>
      <c r="G55" s="110" t="str">
        <f t="shared" si="8"/>
        <v/>
      </c>
      <c r="H55" s="120" t="str">
        <f>IF(C55="","",INDEX(標準係数A!$E:$R, MATCH(償却資産!G55, 標準係数A!B:B, 0), MATCH(償却資産!D55, 標準係数A!$E$4:$R$4, 0)))</f>
        <v/>
      </c>
      <c r="I55" s="121" t="str">
        <f t="shared" si="9"/>
        <v/>
      </c>
      <c r="J55" s="140"/>
      <c r="K55" s="140"/>
      <c r="L55" s="140"/>
      <c r="M55" s="108" t="str">
        <f t="shared" si="10"/>
        <v/>
      </c>
      <c r="N55" s="108" t="str">
        <f t="shared" si="11"/>
        <v/>
      </c>
      <c r="O55" s="108" t="str">
        <f t="shared" si="12"/>
        <v/>
      </c>
      <c r="P55" s="108" t="str">
        <f t="shared" si="13"/>
        <v/>
      </c>
      <c r="Q55" s="108" t="str">
        <f t="shared" si="14"/>
        <v/>
      </c>
      <c r="R55" s="126" t="str">
        <f>IF(M55="","",HLOOKUP(D55,標準係数A!$E$4:$R$5,2,FALSE))</f>
        <v/>
      </c>
      <c r="S55" s="108" t="str">
        <f t="shared" si="15"/>
        <v/>
      </c>
    </row>
    <row r="56" spans="2:19" ht="20" customHeight="1">
      <c r="B56" s="127" t="s">
        <v>339</v>
      </c>
      <c r="C56" s="127" t="s">
        <v>447</v>
      </c>
      <c r="D56" s="127" t="s">
        <v>447</v>
      </c>
      <c r="E56" s="131" t="s">
        <v>447</v>
      </c>
      <c r="F56" s="127" t="s">
        <v>447</v>
      </c>
      <c r="G56" s="127" t="s">
        <v>447</v>
      </c>
      <c r="H56" s="131" t="s">
        <v>447</v>
      </c>
      <c r="I56" s="129" t="s">
        <v>447</v>
      </c>
      <c r="J56" s="129" t="s">
        <v>447</v>
      </c>
      <c r="K56" s="129"/>
      <c r="L56" s="131">
        <f t="shared" ref="L56:Q56" si="16">SUM(L6:L55)</f>
        <v>0</v>
      </c>
      <c r="M56" s="131">
        <f t="shared" si="16"/>
        <v>52381005</v>
      </c>
      <c r="N56" s="131">
        <f t="shared" si="16"/>
        <v>52381005</v>
      </c>
      <c r="O56" s="131">
        <f t="shared" si="16"/>
        <v>12010855</v>
      </c>
      <c r="P56" s="131">
        <f t="shared" si="16"/>
        <v>40370150</v>
      </c>
      <c r="Q56" s="131">
        <f t="shared" si="16"/>
        <v>1571432</v>
      </c>
      <c r="R56" s="130" t="s">
        <v>447</v>
      </c>
      <c r="S56" s="131">
        <f>SUM(S6:S55)</f>
        <v>3892269.1399999997</v>
      </c>
    </row>
    <row r="57" spans="2:19" ht="25" customHeight="1"/>
    <row r="58" spans="2:19" ht="20" customHeight="1">
      <c r="B58" s="97" t="s">
        <v>451</v>
      </c>
      <c r="I58" s="102" t="s">
        <v>644</v>
      </c>
    </row>
    <row r="59" spans="2:19" ht="20" customHeight="1">
      <c r="B59" s="127" t="s">
        <v>445</v>
      </c>
      <c r="C59" s="127" t="s">
        <v>446</v>
      </c>
      <c r="D59" s="131" t="s">
        <v>450</v>
      </c>
      <c r="E59" s="131" t="s">
        <v>366</v>
      </c>
      <c r="F59" s="127" t="s">
        <v>367</v>
      </c>
      <c r="G59" s="127" t="s">
        <v>339</v>
      </c>
      <c r="I59" s="197" t="b">
        <v>0</v>
      </c>
      <c r="J59" s="692" t="s">
        <v>436</v>
      </c>
      <c r="K59" s="693"/>
      <c r="M59" s="102"/>
      <c r="N59" s="102"/>
      <c r="O59" s="123"/>
      <c r="R59" s="97"/>
      <c r="S59" s="125"/>
    </row>
    <row r="60" spans="2:19" ht="20" customHeight="1">
      <c r="B60" s="110" t="s">
        <v>436</v>
      </c>
      <c r="C60" s="110" t="s">
        <v>392</v>
      </c>
      <c r="D60" s="108">
        <f t="shared" ref="D60:D73" si="17">SUMIF($D$6:$D$55, $C60, $E$6:$E$55)</f>
        <v>487</v>
      </c>
      <c r="E60" s="108">
        <f t="shared" ref="E60:E73" si="18">SUMIF($D$6:$D$55, $C60, $O$6:$O$55)</f>
        <v>5368245</v>
      </c>
      <c r="F60" s="108">
        <f t="shared" ref="F60:F73" si="19">SUMIF($D$6:$D$55, $C60, $P$6:$P$55)</f>
        <v>0</v>
      </c>
      <c r="G60" s="117">
        <f>SUM(E60:F60)</f>
        <v>5368245</v>
      </c>
      <c r="I60" s="197" t="b">
        <v>0</v>
      </c>
      <c r="J60" s="692" t="s">
        <v>437</v>
      </c>
      <c r="K60" s="693"/>
      <c r="M60" s="97"/>
      <c r="N60" s="97"/>
      <c r="R60" s="97"/>
      <c r="S60" s="125"/>
    </row>
    <row r="61" spans="2:19" ht="20" customHeight="1">
      <c r="B61" s="110" t="s">
        <v>437</v>
      </c>
      <c r="C61" s="110" t="s">
        <v>394</v>
      </c>
      <c r="D61" s="108">
        <f t="shared" si="17"/>
        <v>487</v>
      </c>
      <c r="E61" s="108">
        <f t="shared" si="18"/>
        <v>1280740</v>
      </c>
      <c r="F61" s="108">
        <f t="shared" si="19"/>
        <v>0</v>
      </c>
      <c r="G61" s="117">
        <f t="shared" ref="G61:G74" si="20">SUM(E61:F61)</f>
        <v>1280740</v>
      </c>
      <c r="I61" s="197" t="b">
        <v>0</v>
      </c>
      <c r="J61" s="692" t="s">
        <v>438</v>
      </c>
      <c r="K61" s="693"/>
      <c r="M61" s="97"/>
      <c r="N61" s="97"/>
      <c r="R61" s="97"/>
      <c r="S61" s="125"/>
    </row>
    <row r="62" spans="2:19" ht="20" customHeight="1">
      <c r="B62" s="110" t="s">
        <v>438</v>
      </c>
      <c r="C62" s="110" t="s">
        <v>396</v>
      </c>
      <c r="D62" s="108">
        <f t="shared" si="17"/>
        <v>487</v>
      </c>
      <c r="E62" s="108">
        <f t="shared" si="18"/>
        <v>0</v>
      </c>
      <c r="F62" s="108">
        <f t="shared" si="19"/>
        <v>3555750</v>
      </c>
      <c r="G62" s="117">
        <f t="shared" si="20"/>
        <v>3555750</v>
      </c>
      <c r="I62" s="197" t="b">
        <v>0</v>
      </c>
      <c r="J62" s="692" t="s">
        <v>439</v>
      </c>
      <c r="K62" s="693"/>
      <c r="M62" s="97"/>
      <c r="N62" s="97"/>
      <c r="R62" s="97"/>
      <c r="S62" s="125"/>
    </row>
    <row r="63" spans="2:19" ht="20" customHeight="1">
      <c r="B63" s="110" t="s">
        <v>439</v>
      </c>
      <c r="C63" s="110" t="s">
        <v>398</v>
      </c>
      <c r="D63" s="108">
        <f t="shared" si="17"/>
        <v>0</v>
      </c>
      <c r="E63" s="108">
        <f t="shared" si="18"/>
        <v>0</v>
      </c>
      <c r="F63" s="108">
        <f t="shared" si="19"/>
        <v>0</v>
      </c>
      <c r="G63" s="117">
        <f t="shared" si="20"/>
        <v>0</v>
      </c>
      <c r="I63" s="197" t="b">
        <v>0</v>
      </c>
      <c r="J63" s="692" t="s">
        <v>442</v>
      </c>
      <c r="K63" s="693"/>
      <c r="M63" s="97"/>
      <c r="N63" s="97"/>
      <c r="R63" s="97"/>
      <c r="S63" s="125"/>
    </row>
    <row r="64" spans="2:19" ht="20" customHeight="1">
      <c r="B64" s="110" t="s">
        <v>442</v>
      </c>
      <c r="C64" s="110" t="s">
        <v>400</v>
      </c>
      <c r="D64" s="108">
        <f t="shared" si="17"/>
        <v>0</v>
      </c>
      <c r="E64" s="108">
        <f t="shared" si="18"/>
        <v>0</v>
      </c>
      <c r="F64" s="108">
        <f t="shared" si="19"/>
        <v>0</v>
      </c>
      <c r="G64" s="117">
        <f t="shared" si="20"/>
        <v>0</v>
      </c>
      <c r="I64" s="197" t="b">
        <v>0</v>
      </c>
      <c r="J64" s="692" t="s">
        <v>443</v>
      </c>
      <c r="K64" s="693"/>
      <c r="M64" s="97"/>
      <c r="N64" s="97"/>
      <c r="R64" s="97"/>
      <c r="S64" s="125"/>
    </row>
    <row r="65" spans="2:19" ht="20" customHeight="1">
      <c r="B65" s="110" t="s">
        <v>442</v>
      </c>
      <c r="C65" s="110" t="s">
        <v>402</v>
      </c>
      <c r="D65" s="108">
        <f t="shared" si="17"/>
        <v>0</v>
      </c>
      <c r="E65" s="108">
        <f t="shared" si="18"/>
        <v>0</v>
      </c>
      <c r="F65" s="108">
        <f t="shared" si="19"/>
        <v>0</v>
      </c>
      <c r="G65" s="117">
        <f t="shared" si="20"/>
        <v>0</v>
      </c>
      <c r="I65" s="197" t="b">
        <v>0</v>
      </c>
      <c r="J65" s="692" t="s">
        <v>281</v>
      </c>
      <c r="K65" s="693"/>
      <c r="M65" s="97"/>
      <c r="N65" s="97"/>
      <c r="R65" s="97"/>
      <c r="S65" s="125"/>
    </row>
    <row r="66" spans="2:19" ht="20" customHeight="1">
      <c r="B66" s="110" t="s">
        <v>443</v>
      </c>
      <c r="C66" s="110" t="s">
        <v>404</v>
      </c>
      <c r="D66" s="108">
        <f t="shared" si="17"/>
        <v>0</v>
      </c>
      <c r="E66" s="108">
        <f t="shared" si="18"/>
        <v>0</v>
      </c>
      <c r="F66" s="108">
        <f t="shared" si="19"/>
        <v>0</v>
      </c>
      <c r="G66" s="117">
        <f t="shared" si="20"/>
        <v>0</v>
      </c>
      <c r="I66" s="197" t="b">
        <v>0</v>
      </c>
      <c r="J66" s="692" t="s">
        <v>441</v>
      </c>
      <c r="K66" s="693"/>
      <c r="M66" s="97"/>
      <c r="N66" s="97"/>
      <c r="R66" s="97"/>
      <c r="S66" s="125"/>
    </row>
    <row r="67" spans="2:19" ht="20" customHeight="1">
      <c r="B67" s="110" t="s">
        <v>443</v>
      </c>
      <c r="C67" s="110" t="s">
        <v>427</v>
      </c>
      <c r="D67" s="108">
        <f t="shared" si="17"/>
        <v>487</v>
      </c>
      <c r="E67" s="108">
        <f t="shared" si="18"/>
        <v>0</v>
      </c>
      <c r="F67" s="108">
        <f t="shared" si="19"/>
        <v>36814400</v>
      </c>
      <c r="G67" s="117">
        <f t="shared" si="20"/>
        <v>36814400</v>
      </c>
      <c r="I67" s="197" t="b">
        <v>0</v>
      </c>
      <c r="J67" s="692" t="s">
        <v>531</v>
      </c>
      <c r="K67" s="693"/>
      <c r="M67" s="97"/>
      <c r="N67" s="97"/>
      <c r="R67" s="97"/>
      <c r="S67" s="125"/>
    </row>
    <row r="68" spans="2:19" ht="20" customHeight="1">
      <c r="B68" s="110" t="s">
        <v>440</v>
      </c>
      <c r="C68" s="110" t="s">
        <v>406</v>
      </c>
      <c r="D68" s="108">
        <f t="shared" si="17"/>
        <v>487</v>
      </c>
      <c r="E68" s="108">
        <f t="shared" si="18"/>
        <v>5361870</v>
      </c>
      <c r="F68" s="108">
        <f t="shared" si="19"/>
        <v>0</v>
      </c>
      <c r="G68" s="117">
        <f t="shared" si="20"/>
        <v>5361870</v>
      </c>
      <c r="I68" s="97"/>
      <c r="M68" s="102"/>
      <c r="N68" s="102"/>
      <c r="O68" s="123"/>
      <c r="R68" s="97"/>
      <c r="S68" s="125"/>
    </row>
    <row r="69" spans="2:19" ht="20" customHeight="1">
      <c r="B69" s="110" t="s">
        <v>441</v>
      </c>
      <c r="C69" s="110" t="s">
        <v>408</v>
      </c>
      <c r="D69" s="108">
        <f t="shared" si="17"/>
        <v>0</v>
      </c>
      <c r="E69" s="108">
        <f t="shared" si="18"/>
        <v>0</v>
      </c>
      <c r="F69" s="108">
        <f t="shared" si="19"/>
        <v>0</v>
      </c>
      <c r="G69" s="117">
        <f t="shared" si="20"/>
        <v>0</v>
      </c>
      <c r="I69" s="97"/>
      <c r="M69" s="102"/>
      <c r="N69" s="102"/>
      <c r="O69" s="123"/>
      <c r="R69" s="97"/>
      <c r="S69" s="125"/>
    </row>
    <row r="70" spans="2:19" ht="20" customHeight="1">
      <c r="B70" s="110" t="s">
        <v>437</v>
      </c>
      <c r="C70" s="110" t="s">
        <v>444</v>
      </c>
      <c r="D70" s="108">
        <f t="shared" si="17"/>
        <v>0</v>
      </c>
      <c r="E70" s="108">
        <f t="shared" si="18"/>
        <v>0</v>
      </c>
      <c r="F70" s="108">
        <f t="shared" si="19"/>
        <v>0</v>
      </c>
      <c r="G70" s="117">
        <f t="shared" si="20"/>
        <v>0</v>
      </c>
      <c r="I70" s="97"/>
      <c r="M70" s="102"/>
      <c r="N70" s="102"/>
      <c r="O70" s="123"/>
      <c r="R70" s="97"/>
      <c r="S70" s="125"/>
    </row>
    <row r="71" spans="2:19" ht="20" customHeight="1">
      <c r="B71" s="110" t="s">
        <v>438</v>
      </c>
      <c r="C71" s="110" t="s">
        <v>410</v>
      </c>
      <c r="D71" s="108">
        <f t="shared" si="17"/>
        <v>0</v>
      </c>
      <c r="E71" s="108">
        <f t="shared" si="18"/>
        <v>0</v>
      </c>
      <c r="F71" s="108">
        <f t="shared" si="19"/>
        <v>0</v>
      </c>
      <c r="G71" s="117">
        <f t="shared" si="20"/>
        <v>0</v>
      </c>
      <c r="I71" s="97"/>
      <c r="M71" s="102"/>
      <c r="N71" s="102"/>
      <c r="O71" s="123"/>
      <c r="R71" s="97"/>
      <c r="S71" s="125"/>
    </row>
    <row r="72" spans="2:19" ht="20" customHeight="1">
      <c r="B72" s="110" t="s">
        <v>439</v>
      </c>
      <c r="C72" s="110" t="s">
        <v>412</v>
      </c>
      <c r="D72" s="108">
        <f t="shared" si="17"/>
        <v>0</v>
      </c>
      <c r="E72" s="108">
        <f t="shared" si="18"/>
        <v>0</v>
      </c>
      <c r="F72" s="108">
        <f t="shared" si="19"/>
        <v>0</v>
      </c>
      <c r="G72" s="117">
        <f t="shared" si="20"/>
        <v>0</v>
      </c>
      <c r="I72" s="97"/>
      <c r="M72" s="102"/>
      <c r="N72" s="102"/>
      <c r="O72" s="123"/>
      <c r="R72" s="97"/>
      <c r="S72" s="125"/>
    </row>
    <row r="73" spans="2:19" ht="20" customHeight="1">
      <c r="B73" s="110" t="s">
        <v>437</v>
      </c>
      <c r="C73" s="110" t="s">
        <v>414</v>
      </c>
      <c r="D73" s="108">
        <f t="shared" si="17"/>
        <v>0</v>
      </c>
      <c r="E73" s="108">
        <f t="shared" si="18"/>
        <v>0</v>
      </c>
      <c r="F73" s="108">
        <f t="shared" si="19"/>
        <v>0</v>
      </c>
      <c r="G73" s="117">
        <f t="shared" si="20"/>
        <v>0</v>
      </c>
      <c r="I73" s="97"/>
      <c r="M73" s="102"/>
      <c r="N73" s="102"/>
      <c r="O73" s="123"/>
      <c r="R73" s="97"/>
      <c r="S73" s="125"/>
    </row>
    <row r="74" spans="2:19" ht="20" customHeight="1">
      <c r="B74" s="127" t="s">
        <v>339</v>
      </c>
      <c r="C74" s="127"/>
      <c r="D74" s="131">
        <f>SUM(D60:D73)</f>
        <v>2435</v>
      </c>
      <c r="E74" s="131">
        <f>SUM(E60:E73)</f>
        <v>12010855</v>
      </c>
      <c r="F74" s="132">
        <f>SUM(F60:F73)</f>
        <v>40370150</v>
      </c>
      <c r="G74" s="132">
        <f t="shared" si="20"/>
        <v>52381005</v>
      </c>
      <c r="I74" s="97"/>
      <c r="M74" s="102"/>
      <c r="N74" s="102"/>
      <c r="O74" s="123"/>
      <c r="R74" s="97"/>
      <c r="S74" s="125"/>
    </row>
    <row r="75" spans="2:19" ht="20" customHeight="1">
      <c r="D75" s="99"/>
      <c r="I75" s="97"/>
      <c r="M75" s="102"/>
      <c r="N75" s="102"/>
      <c r="O75" s="123"/>
      <c r="R75" s="97"/>
      <c r="S75" s="125"/>
    </row>
    <row r="76" spans="2:19" ht="20" customHeight="1">
      <c r="B76" s="97" t="s">
        <v>452</v>
      </c>
      <c r="D76" s="99"/>
      <c r="I76" s="97"/>
      <c r="M76" s="102"/>
      <c r="N76" s="102"/>
      <c r="O76" s="123"/>
      <c r="R76" s="97"/>
      <c r="S76" s="125"/>
    </row>
    <row r="77" spans="2:19" ht="20" customHeight="1">
      <c r="B77" s="695" t="s">
        <v>445</v>
      </c>
      <c r="C77" s="695"/>
      <c r="D77" s="131" t="s">
        <v>450</v>
      </c>
      <c r="E77" s="131" t="s">
        <v>366</v>
      </c>
      <c r="F77" s="127" t="s">
        <v>367</v>
      </c>
      <c r="G77" s="127" t="s">
        <v>339</v>
      </c>
      <c r="I77" s="97"/>
      <c r="M77" s="102"/>
      <c r="N77" s="102"/>
      <c r="O77" s="123"/>
      <c r="R77" s="97"/>
      <c r="S77" s="125"/>
    </row>
    <row r="78" spans="2:19" ht="20" customHeight="1">
      <c r="B78" s="694" t="s">
        <v>436</v>
      </c>
      <c r="C78" s="694"/>
      <c r="D78" s="108">
        <f>SUMIF($B$60:$B$73,$B78,$D$60:$D$73)</f>
        <v>487</v>
      </c>
      <c r="E78" s="108">
        <f t="shared" ref="E78:E85" si="21">SUMIF($B$60:$B$73,$B78,$E$60:$E$73)</f>
        <v>5368245</v>
      </c>
      <c r="F78" s="108">
        <f t="shared" ref="F78:F85" si="22">SUMIF($B$60:$B$73,$B78,$F$60:$F$73)</f>
        <v>0</v>
      </c>
      <c r="G78" s="117">
        <f>SUM(E78:F78)</f>
        <v>5368245</v>
      </c>
      <c r="I78" s="97"/>
      <c r="M78" s="102"/>
      <c r="N78" s="102"/>
      <c r="O78" s="123"/>
      <c r="R78" s="97"/>
      <c r="S78" s="125"/>
    </row>
    <row r="79" spans="2:19" ht="20" customHeight="1">
      <c r="B79" s="694" t="s">
        <v>437</v>
      </c>
      <c r="C79" s="694"/>
      <c r="D79" s="108">
        <f t="shared" ref="D79:D85" si="23">SUMIF($B$60:$B$73,$B79,$D$60:$D$73)</f>
        <v>487</v>
      </c>
      <c r="E79" s="108">
        <f t="shared" si="21"/>
        <v>1280740</v>
      </c>
      <c r="F79" s="108">
        <f t="shared" si="22"/>
        <v>0</v>
      </c>
      <c r="G79" s="117">
        <f t="shared" ref="G79:G86" si="24">SUM(E79:F79)</f>
        <v>1280740</v>
      </c>
      <c r="I79" s="97"/>
      <c r="M79" s="102"/>
      <c r="N79" s="102"/>
      <c r="O79" s="123"/>
      <c r="R79" s="97"/>
      <c r="S79" s="125"/>
    </row>
    <row r="80" spans="2:19" ht="20" customHeight="1">
      <c r="B80" s="694" t="s">
        <v>438</v>
      </c>
      <c r="C80" s="694"/>
      <c r="D80" s="108">
        <f t="shared" si="23"/>
        <v>487</v>
      </c>
      <c r="E80" s="108">
        <f t="shared" si="21"/>
        <v>0</v>
      </c>
      <c r="F80" s="108">
        <f t="shared" si="22"/>
        <v>3555750</v>
      </c>
      <c r="G80" s="117">
        <f t="shared" si="24"/>
        <v>3555750</v>
      </c>
      <c r="I80" s="97"/>
      <c r="M80" s="102"/>
      <c r="N80" s="102"/>
      <c r="O80" s="123"/>
      <c r="R80" s="97"/>
      <c r="S80" s="125"/>
    </row>
    <row r="81" spans="2:19" ht="20" customHeight="1">
      <c r="B81" s="694" t="s">
        <v>439</v>
      </c>
      <c r="C81" s="694"/>
      <c r="D81" s="108">
        <f t="shared" si="23"/>
        <v>0</v>
      </c>
      <c r="E81" s="108">
        <f t="shared" si="21"/>
        <v>0</v>
      </c>
      <c r="F81" s="108">
        <f t="shared" si="22"/>
        <v>0</v>
      </c>
      <c r="G81" s="117">
        <f t="shared" si="24"/>
        <v>0</v>
      </c>
      <c r="I81" s="97"/>
      <c r="M81" s="102"/>
      <c r="N81" s="102"/>
      <c r="O81" s="123"/>
      <c r="R81" s="97"/>
      <c r="S81" s="125"/>
    </row>
    <row r="82" spans="2:19" ht="20" customHeight="1">
      <c r="B82" s="694" t="s">
        <v>442</v>
      </c>
      <c r="C82" s="694"/>
      <c r="D82" s="108">
        <f t="shared" si="23"/>
        <v>0</v>
      </c>
      <c r="E82" s="108">
        <f t="shared" si="21"/>
        <v>0</v>
      </c>
      <c r="F82" s="108">
        <f t="shared" si="22"/>
        <v>0</v>
      </c>
      <c r="G82" s="117">
        <f t="shared" si="24"/>
        <v>0</v>
      </c>
      <c r="I82" s="97"/>
      <c r="M82" s="102"/>
      <c r="N82" s="102"/>
      <c r="O82" s="123"/>
      <c r="R82" s="97"/>
      <c r="S82" s="125"/>
    </row>
    <row r="83" spans="2:19" ht="20" customHeight="1">
      <c r="B83" s="694" t="s">
        <v>443</v>
      </c>
      <c r="C83" s="694"/>
      <c r="D83" s="108">
        <f t="shared" si="23"/>
        <v>487</v>
      </c>
      <c r="E83" s="108">
        <f t="shared" si="21"/>
        <v>0</v>
      </c>
      <c r="F83" s="108">
        <f t="shared" si="22"/>
        <v>36814400</v>
      </c>
      <c r="G83" s="117">
        <f t="shared" si="24"/>
        <v>36814400</v>
      </c>
      <c r="I83" s="97"/>
      <c r="M83" s="102"/>
      <c r="N83" s="102"/>
      <c r="O83" s="123"/>
      <c r="R83" s="97"/>
      <c r="S83" s="125"/>
    </row>
    <row r="84" spans="2:19" ht="20" customHeight="1">
      <c r="B84" s="694" t="s">
        <v>440</v>
      </c>
      <c r="C84" s="694"/>
      <c r="D84" s="108">
        <f t="shared" si="23"/>
        <v>487</v>
      </c>
      <c r="E84" s="108">
        <f t="shared" si="21"/>
        <v>5361870</v>
      </c>
      <c r="F84" s="108">
        <f t="shared" si="22"/>
        <v>0</v>
      </c>
      <c r="G84" s="117">
        <f t="shared" si="24"/>
        <v>5361870</v>
      </c>
      <c r="I84" s="97"/>
      <c r="M84" s="102"/>
      <c r="N84" s="102"/>
      <c r="O84" s="123"/>
      <c r="R84" s="97"/>
      <c r="S84" s="125"/>
    </row>
    <row r="85" spans="2:19" ht="20" customHeight="1">
      <c r="B85" s="694" t="s">
        <v>441</v>
      </c>
      <c r="C85" s="694"/>
      <c r="D85" s="108">
        <f t="shared" si="23"/>
        <v>0</v>
      </c>
      <c r="E85" s="108">
        <f t="shared" si="21"/>
        <v>0</v>
      </c>
      <c r="F85" s="108">
        <f t="shared" si="22"/>
        <v>0</v>
      </c>
      <c r="G85" s="117">
        <f t="shared" si="24"/>
        <v>0</v>
      </c>
      <c r="I85" s="97"/>
      <c r="M85" s="102"/>
      <c r="N85" s="102"/>
      <c r="O85" s="123"/>
      <c r="R85" s="97"/>
      <c r="S85" s="125"/>
    </row>
    <row r="86" spans="2:19" ht="20" customHeight="1">
      <c r="B86" s="695" t="s">
        <v>339</v>
      </c>
      <c r="C86" s="695"/>
      <c r="D86" s="131"/>
      <c r="E86" s="131">
        <f>SUM(E78:E85)</f>
        <v>12010855</v>
      </c>
      <c r="F86" s="131">
        <f>SUM(F78:F85)</f>
        <v>40370150</v>
      </c>
      <c r="G86" s="132">
        <f t="shared" si="24"/>
        <v>52381005</v>
      </c>
      <c r="I86" s="97"/>
      <c r="M86" s="102"/>
      <c r="N86" s="102"/>
      <c r="O86" s="123"/>
      <c r="R86" s="97"/>
      <c r="S86" s="125"/>
    </row>
  </sheetData>
  <mergeCells count="19">
    <mergeCell ref="B83:C83"/>
    <mergeCell ref="B84:C84"/>
    <mergeCell ref="B85:C85"/>
    <mergeCell ref="B86:C86"/>
    <mergeCell ref="B77:C77"/>
    <mergeCell ref="B78:C78"/>
    <mergeCell ref="B79:C79"/>
    <mergeCell ref="B80:C80"/>
    <mergeCell ref="B81:C81"/>
    <mergeCell ref="B82:C82"/>
    <mergeCell ref="J64:K64"/>
    <mergeCell ref="J65:K65"/>
    <mergeCell ref="J66:K66"/>
    <mergeCell ref="J67:K67"/>
    <mergeCell ref="J59:K59"/>
    <mergeCell ref="J60:K60"/>
    <mergeCell ref="J61:K61"/>
    <mergeCell ref="J62:K62"/>
    <mergeCell ref="J63:K63"/>
  </mergeCells>
  <phoneticPr fontId="2"/>
  <dataValidations count="2">
    <dataValidation type="custom" allowBlank="1" showInputMessage="1" showErrorMessage="1" errorTitle="入力不可" error="入力した値が不正です" sqref="J6:J55" xr:uid="{0D3C3E45-2170-5143-B2A6-3230D735B405}">
      <formula1>AND(OR(J6=0, J6=1), NOT(AND(I6=0, J6=1)))</formula1>
    </dataValidation>
    <dataValidation type="list" allowBlank="1" showInputMessage="1" showErrorMessage="1" sqref="K6:K55" xr:uid="{997A03B8-4FEA-AC43-A59D-485BDA00C2FB}">
      <formula1>"0,1"</formula1>
    </dataValidation>
  </dataValidations>
  <pageMargins left="0.70866141732283472" right="0.70866141732283472" top="0.74803149606299213" bottom="0.74803149606299213" header="0.31496062992125984" footer="0.31496062992125984"/>
  <pageSetup paperSize="9" scale="41" orientation="landscape" horizontalDpi="0" verticalDpi="0"/>
  <extLst>
    <ext xmlns:x14="http://schemas.microsoft.com/office/spreadsheetml/2009/9/main" uri="{CCE6A557-97BC-4b89-ADB6-D9C93CAAB3DF}">
      <x14:dataValidations xmlns:xm="http://schemas.microsoft.com/office/excel/2006/main" count="1">
        <x14:dataValidation type="list" allowBlank="1" showInputMessage="1" showErrorMessage="1" xr:uid="{7113D5C5-D523-684D-8C2B-8F44DA9B9D44}">
          <x14:formula1>
            <xm:f>標準係数A!$E$3:$R$3</xm:f>
          </x14:formula1>
          <xm:sqref>C6:C55</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41E5B-3A85-794B-8110-55D3302C47A4}">
  <sheetPr codeName="Sheet17">
    <tabColor theme="9" tint="0.39997558519241921"/>
    <pageSetUpPr fitToPage="1"/>
  </sheetPr>
  <dimension ref="B1:L13"/>
  <sheetViews>
    <sheetView showGridLines="0" showRowColHeaders="0" zoomScale="120" zoomScaleNormal="120" workbookViewId="0">
      <selection activeCell="E21" sqref="E21"/>
    </sheetView>
  </sheetViews>
  <sheetFormatPr baseColWidth="10" defaultColWidth="10.7109375" defaultRowHeight="20" customHeight="1"/>
  <cols>
    <col min="1" max="1" width="5" style="97" customWidth="1"/>
    <col min="2" max="10" width="10.7109375" style="97"/>
    <col min="11" max="11" width="12.42578125" style="97" customWidth="1"/>
    <col min="12" max="12" width="5" style="97" customWidth="1"/>
    <col min="13" max="16384" width="10.7109375" style="97"/>
  </cols>
  <sheetData>
    <row r="1" spans="2:12" ht="25" customHeight="1">
      <c r="K1" s="400" t="str">
        <f>ナビ!C4</f>
        <v>　</v>
      </c>
    </row>
    <row r="2" spans="2:12" ht="20" customHeight="1">
      <c r="B2" s="97" t="s">
        <v>371</v>
      </c>
    </row>
    <row r="4" spans="2:12" ht="20" customHeight="1">
      <c r="B4" s="110" t="s">
        <v>470</v>
      </c>
      <c r="C4" s="196"/>
      <c r="D4" s="110" t="str">
        <f>IF(C4="","",VLOOKUP(C4,償却資産!U6:V24,2,TRUE))</f>
        <v/>
      </c>
      <c r="E4" s="97" t="s">
        <v>494</v>
      </c>
    </row>
    <row r="5" spans="2:12" ht="62" customHeight="1">
      <c r="B5" s="110"/>
      <c r="C5" s="104" t="s">
        <v>245</v>
      </c>
      <c r="D5" s="104" t="s">
        <v>246</v>
      </c>
      <c r="E5" s="104" t="s">
        <v>247</v>
      </c>
      <c r="F5" s="104" t="s">
        <v>248</v>
      </c>
      <c r="G5" s="104" t="s">
        <v>249</v>
      </c>
      <c r="H5" s="104" t="s">
        <v>250</v>
      </c>
      <c r="I5" s="104" t="s">
        <v>251</v>
      </c>
      <c r="J5" s="104" t="s">
        <v>252</v>
      </c>
      <c r="K5" s="110" t="s">
        <v>339</v>
      </c>
    </row>
    <row r="6" spans="2:12" ht="20" customHeight="1">
      <c r="B6" s="110" t="s">
        <v>473</v>
      </c>
      <c r="C6" s="104" t="s">
        <v>416</v>
      </c>
      <c r="D6" s="104" t="s">
        <v>417</v>
      </c>
      <c r="E6" s="104" t="s">
        <v>418</v>
      </c>
      <c r="F6" s="104" t="s">
        <v>419</v>
      </c>
      <c r="G6" s="104" t="s">
        <v>420</v>
      </c>
      <c r="H6" s="104" t="s">
        <v>421</v>
      </c>
      <c r="I6" s="104" t="s">
        <v>422</v>
      </c>
      <c r="J6" s="104" t="s">
        <v>423</v>
      </c>
      <c r="K6" s="110"/>
    </row>
    <row r="7" spans="2:12" ht="20" customHeight="1">
      <c r="B7" s="110" t="s">
        <v>471</v>
      </c>
      <c r="C7" s="147" t="str">
        <f>IF(C4="","",INDEX(標準係数A!$A:$AA, MATCH($D$4,標準係数A!$B:$B, 0), MATCH(C6, 標準係数A!$4:$4, 0)))</f>
        <v/>
      </c>
      <c r="D7" s="147" t="str">
        <f>IF(C4="","",INDEX(標準係数A!$A:$AA, MATCH($D$4,標準係数A!$B:$B, 0), MATCH(D6, 標準係数A!$4:$4, 0)))</f>
        <v/>
      </c>
      <c r="E7" s="147" t="str">
        <f>IF(C4="","",INDEX(標準係数A!$A:$AA, MATCH($D$4,標準係数A!$B:$B, 0), MATCH(E6, 標準係数A!$4:$4, 0)))</f>
        <v/>
      </c>
      <c r="F7" s="147" t="str">
        <f>IF(C4="","",INDEX(標準係数A!$A:$AA, MATCH($D$4,標準係数A!$B:$B, 0), MATCH(F6, 標準係数A!$4:$4, 0)))</f>
        <v/>
      </c>
      <c r="G7" s="147" t="str">
        <f>IF(C4="","",INDEX(標準係数A!$A:$AA, MATCH($D$4,標準係数A!$B:$B, 0), MATCH(G6, 標準係数A!$4:$4, 0)))</f>
        <v/>
      </c>
      <c r="H7" s="147" t="str">
        <f>IF(C4="","",INDEX(標準係数A!$A:$AA, MATCH($D$4,標準係数A!$B:$B, 0), MATCH(H6, 標準係数A!$4:$4, 0)))</f>
        <v/>
      </c>
      <c r="I7" s="147" t="str">
        <f>IF(C4="","",INDEX(標準係数A!$A:$AA, MATCH($D$4,標準係数A!$B:$B, 0), MATCH(I6, 標準係数A!$4:$4, 0)))</f>
        <v/>
      </c>
      <c r="J7" s="147" t="str">
        <f>IF(C4="","",INDEX(標準係数A!$A:$AA, MATCH($D$4,標準係数A!$B:$B, 0), MATCH(J6, 標準係数A!$4:$4, 0)))</f>
        <v/>
      </c>
      <c r="K7" s="110"/>
    </row>
    <row r="8" spans="2:12" ht="20" customHeight="1">
      <c r="B8" s="110" t="s">
        <v>469</v>
      </c>
      <c r="C8" s="108">
        <v>250</v>
      </c>
      <c r="D8" s="108">
        <v>1000</v>
      </c>
      <c r="E8" s="108">
        <v>2000</v>
      </c>
      <c r="F8" s="108">
        <v>3000</v>
      </c>
      <c r="G8" s="108">
        <v>4000</v>
      </c>
      <c r="H8" s="108">
        <v>5000</v>
      </c>
      <c r="I8" s="108">
        <v>6000</v>
      </c>
      <c r="J8" s="108">
        <v>999999</v>
      </c>
      <c r="K8" s="110"/>
    </row>
    <row r="9" spans="2:12" ht="20" customHeight="1">
      <c r="B9" s="110" t="s">
        <v>529</v>
      </c>
      <c r="C9" s="108">
        <f>MIN(ナビ!$D$11, C8)</f>
        <v>250</v>
      </c>
      <c r="D9" s="108">
        <f>MAX(0, MIN(D8-C8, ナビ!$D$11-C8))</f>
        <v>237</v>
      </c>
      <c r="E9" s="108">
        <f>MAX(0, MIN(E8-D8, ナビ!$D$11-D8))</f>
        <v>0</v>
      </c>
      <c r="F9" s="108">
        <f>MAX(0, MIN(F8-E8, ナビ!$D$11-E8))</f>
        <v>0</v>
      </c>
      <c r="G9" s="108">
        <f>MAX(0, MIN(G8-F8, ナビ!$D$11-F8))</f>
        <v>0</v>
      </c>
      <c r="H9" s="108">
        <f>MAX(0, MIN(H8-G8, ナビ!$D$11-G8))</f>
        <v>0</v>
      </c>
      <c r="I9" s="108">
        <f>MAX(0, MIN(I8-H8, ナビ!$D$11-H8))</f>
        <v>0</v>
      </c>
      <c r="J9" s="108">
        <f>MAX(0, MIN(J8-I8, ナビ!$D$11-I8))</f>
        <v>0</v>
      </c>
      <c r="K9" s="110"/>
    </row>
    <row r="10" spans="2:12" ht="20" customHeight="1">
      <c r="B10" s="110" t="s">
        <v>472</v>
      </c>
      <c r="C10" s="108">
        <f>IFERROR(C7*C9,0)</f>
        <v>0</v>
      </c>
      <c r="D10" s="108">
        <f t="shared" ref="D10:J10" si="0">IFERROR(D7*D9,0)</f>
        <v>0</v>
      </c>
      <c r="E10" s="108">
        <f t="shared" si="0"/>
        <v>0</v>
      </c>
      <c r="F10" s="108">
        <f t="shared" si="0"/>
        <v>0</v>
      </c>
      <c r="G10" s="108">
        <f t="shared" si="0"/>
        <v>0</v>
      </c>
      <c r="H10" s="108">
        <f t="shared" si="0"/>
        <v>0</v>
      </c>
      <c r="I10" s="108">
        <f t="shared" si="0"/>
        <v>0</v>
      </c>
      <c r="J10" s="108">
        <f t="shared" si="0"/>
        <v>0</v>
      </c>
      <c r="K10" s="243">
        <f>SUM(C10:J10)</f>
        <v>0</v>
      </c>
      <c r="L10" s="242"/>
    </row>
    <row r="11" spans="2:12" ht="20" customHeight="1">
      <c r="J11" s="110" t="s">
        <v>530</v>
      </c>
      <c r="K11" s="110">
        <f>標準係数B!K6</f>
        <v>0.03</v>
      </c>
    </row>
    <row r="12" spans="2:12" ht="20" customHeight="1">
      <c r="J12" s="110" t="s">
        <v>368</v>
      </c>
      <c r="K12" s="243">
        <f>ROUND(K10*K11,0)</f>
        <v>0</v>
      </c>
      <c r="L12" s="242"/>
    </row>
    <row r="13" spans="2:12" ht="25" customHeight="1"/>
  </sheetData>
  <phoneticPr fontId="2"/>
  <hyperlinks>
    <hyperlink ref="K10" location="'1_a'!H33" display="'1_a'!H33" xr:uid="{DAFD8BD9-51D6-B946-BFAD-B740BAB27170}"/>
    <hyperlink ref="K12" location="'1_b'!G20" display="'1_b'!G20" xr:uid="{69021A53-93E7-D546-B077-CFB93C41F93A}"/>
  </hyperlinks>
  <pageMargins left="0.70866141732283472" right="0.70866141732283472" top="0.74803149606299213" bottom="0.74803149606299213" header="0.31496062992125984" footer="0.31496062992125984"/>
  <pageSetup paperSize="9" scale="89" orientation="landscape" horizontalDpi="0" verticalDpi="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90C1E-D5C9-5B47-BABF-667FC644A91B}">
  <sheetPr codeName="Sheet18">
    <tabColor theme="9" tint="0.39997558519241921"/>
    <pageSetUpPr fitToPage="1"/>
  </sheetPr>
  <dimension ref="B1:E9"/>
  <sheetViews>
    <sheetView showGridLines="0" showRowColHeaders="0" zoomScale="120" zoomScaleNormal="120" workbookViewId="0">
      <selection activeCell="D4" sqref="D4"/>
    </sheetView>
  </sheetViews>
  <sheetFormatPr baseColWidth="10" defaultColWidth="10.7109375" defaultRowHeight="20" customHeight="1"/>
  <cols>
    <col min="1" max="1" width="5" style="97" customWidth="1"/>
    <col min="2" max="2" width="12.7109375" style="97" customWidth="1"/>
    <col min="3" max="5" width="11.42578125" style="97" customWidth="1"/>
    <col min="6" max="6" width="5" style="97" customWidth="1"/>
    <col min="7" max="16384" width="10.7109375" style="97"/>
  </cols>
  <sheetData>
    <row r="1" spans="2:5" ht="25" customHeight="1">
      <c r="E1" s="400" t="str">
        <f>ナビ!C4</f>
        <v>　</v>
      </c>
    </row>
    <row r="2" spans="2:5" ht="20" customHeight="1">
      <c r="B2" s="97" t="s">
        <v>463</v>
      </c>
    </row>
    <row r="4" spans="2:5" ht="20" customHeight="1">
      <c r="B4" s="154" t="s">
        <v>489</v>
      </c>
      <c r="C4" s="155"/>
      <c r="D4" s="253" t="s">
        <v>289</v>
      </c>
    </row>
    <row r="5" spans="2:5" ht="20" customHeight="1">
      <c r="B5" s="110"/>
      <c r="C5" s="110" t="s">
        <v>466</v>
      </c>
      <c r="D5" s="110" t="s">
        <v>462</v>
      </c>
      <c r="E5" s="110" t="s">
        <v>467</v>
      </c>
    </row>
    <row r="6" spans="2:5" ht="20" customHeight="1">
      <c r="B6" s="110" t="s">
        <v>464</v>
      </c>
      <c r="C6" s="117">
        <f>ナビ!D12</f>
        <v>0</v>
      </c>
      <c r="D6" s="110">
        <f>VLOOKUP(D4,標準係数B!$AA$4:$AC$6,3,FALSE)</f>
        <v>190</v>
      </c>
      <c r="E6" s="108">
        <f>C6*D6</f>
        <v>0</v>
      </c>
    </row>
    <row r="7" spans="2:5" ht="20" customHeight="1">
      <c r="B7" s="110" t="s">
        <v>465</v>
      </c>
      <c r="C7" s="117">
        <f>ナビ!D13</f>
        <v>487</v>
      </c>
      <c r="D7" s="110">
        <f>VLOOKUP(D4,標準係数B!$AA$4:$AC$6,2,FALSE)</f>
        <v>700</v>
      </c>
      <c r="E7" s="108">
        <f>C7*D7</f>
        <v>340900</v>
      </c>
    </row>
    <row r="8" spans="2:5" ht="20" customHeight="1">
      <c r="B8" s="110" t="s">
        <v>339</v>
      </c>
      <c r="C8" s="110"/>
      <c r="D8" s="110"/>
      <c r="E8" s="192">
        <f>SUM(E6:E7)</f>
        <v>340900</v>
      </c>
    </row>
    <row r="9" spans="2:5" ht="25" customHeight="1"/>
  </sheetData>
  <phoneticPr fontId="2"/>
  <dataValidations count="1">
    <dataValidation type="list" allowBlank="1" showInputMessage="1" showErrorMessage="1" sqref="D4" xr:uid="{DB9B5D46-332B-7E41-80DE-C287A5E2C22C}">
      <formula1>"甲地,乙地,丙地"</formula1>
    </dataValidation>
  </dataValidations>
  <hyperlinks>
    <hyperlink ref="E8" location="'1_b'!G49" display="'1_b'!G49" xr:uid="{AD9E966F-BA48-6D43-855F-F99C24010407}"/>
  </hyperlinks>
  <pageMargins left="0.70866141732283472" right="0.70866141732283472" top="0.74803149606299213" bottom="0.74803149606299213" header="0.31496062992125984" footer="0.31496062992125984"/>
  <pageSetup paperSize="9" orientation="landscape" horizontalDpi="0" verticalDpi="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B4150-03FD-D440-A3B3-EFA9110BA406}">
  <sheetPr codeName="Sheet9">
    <tabColor rgb="FFFFFF00"/>
    <pageSetUpPr fitToPage="1"/>
  </sheetPr>
  <dimension ref="B1:AA48"/>
  <sheetViews>
    <sheetView showGridLines="0" showRowColHeaders="0" zoomScaleNormal="100" workbookViewId="0">
      <selection activeCell="I29" sqref="I29"/>
    </sheetView>
  </sheetViews>
  <sheetFormatPr baseColWidth="10" defaultColWidth="10.7109375" defaultRowHeight="15"/>
  <cols>
    <col min="1" max="1" width="3.5703125" style="97" customWidth="1"/>
    <col min="2" max="2" width="6.85546875" style="97" bestFit="1" customWidth="1"/>
    <col min="3" max="4" width="10.85546875" style="97" customWidth="1"/>
    <col min="5" max="18" width="8.5703125" style="97" customWidth="1"/>
    <col min="19" max="19" width="5" style="97" customWidth="1"/>
    <col min="20" max="27" width="8.5703125" style="97" customWidth="1"/>
    <col min="28" max="28" width="5" style="97" customWidth="1"/>
    <col min="29" max="16384" width="10.7109375" style="97"/>
  </cols>
  <sheetData>
    <row r="1" spans="2:27" ht="25" customHeight="1"/>
    <row r="2" spans="2:27">
      <c r="B2" s="97" t="s">
        <v>316</v>
      </c>
      <c r="T2" s="97" t="s">
        <v>371</v>
      </c>
    </row>
    <row r="3" spans="2:27" ht="64">
      <c r="B3" s="104" t="s">
        <v>372</v>
      </c>
      <c r="C3" s="104" t="s">
        <v>318</v>
      </c>
      <c r="D3" s="104" t="s">
        <v>319</v>
      </c>
      <c r="E3" s="104" t="s">
        <v>273</v>
      </c>
      <c r="F3" s="104" t="s">
        <v>274</v>
      </c>
      <c r="G3" s="104" t="s">
        <v>275</v>
      </c>
      <c r="H3" s="104" t="s">
        <v>276</v>
      </c>
      <c r="I3" s="104" t="s">
        <v>277</v>
      </c>
      <c r="J3" s="104" t="s">
        <v>278</v>
      </c>
      <c r="K3" s="104" t="s">
        <v>279</v>
      </c>
      <c r="L3" s="104" t="s">
        <v>280</v>
      </c>
      <c r="M3" s="104" t="s">
        <v>281</v>
      </c>
      <c r="N3" s="104" t="s">
        <v>282</v>
      </c>
      <c r="O3" s="104" t="s">
        <v>283</v>
      </c>
      <c r="P3" s="104" t="s">
        <v>284</v>
      </c>
      <c r="Q3" s="104" t="s">
        <v>285</v>
      </c>
      <c r="R3" s="104" t="s">
        <v>286</v>
      </c>
      <c r="T3" s="104" t="s">
        <v>245</v>
      </c>
      <c r="U3" s="104" t="s">
        <v>246</v>
      </c>
      <c r="V3" s="104" t="s">
        <v>247</v>
      </c>
      <c r="W3" s="104" t="s">
        <v>248</v>
      </c>
      <c r="X3" s="104" t="s">
        <v>249</v>
      </c>
      <c r="Y3" s="104" t="s">
        <v>250</v>
      </c>
      <c r="Z3" s="104" t="s">
        <v>251</v>
      </c>
      <c r="AA3" s="104" t="s">
        <v>252</v>
      </c>
    </row>
    <row r="4" spans="2:27" ht="20" customHeight="1">
      <c r="B4" s="104"/>
      <c r="C4" s="104" t="s">
        <v>424</v>
      </c>
      <c r="D4" s="104"/>
      <c r="E4" s="104" t="s">
        <v>393</v>
      </c>
      <c r="F4" s="104" t="s">
        <v>395</v>
      </c>
      <c r="G4" s="104" t="s">
        <v>397</v>
      </c>
      <c r="H4" s="104" t="s">
        <v>399</v>
      </c>
      <c r="I4" s="104" t="s">
        <v>401</v>
      </c>
      <c r="J4" s="104" t="s">
        <v>403</v>
      </c>
      <c r="K4" s="104" t="s">
        <v>405</v>
      </c>
      <c r="L4" s="104" t="s">
        <v>428</v>
      </c>
      <c r="M4" s="104" t="s">
        <v>407</v>
      </c>
      <c r="N4" s="104" t="s">
        <v>409</v>
      </c>
      <c r="O4" s="104" t="s">
        <v>444</v>
      </c>
      <c r="P4" s="104" t="s">
        <v>411</v>
      </c>
      <c r="Q4" s="104" t="s">
        <v>413</v>
      </c>
      <c r="R4" s="104" t="s">
        <v>415</v>
      </c>
      <c r="T4" s="104" t="s">
        <v>416</v>
      </c>
      <c r="U4" s="104" t="s">
        <v>417</v>
      </c>
      <c r="V4" s="104" t="s">
        <v>418</v>
      </c>
      <c r="W4" s="104" t="s">
        <v>419</v>
      </c>
      <c r="X4" s="104" t="s">
        <v>420</v>
      </c>
      <c r="Y4" s="104" t="s">
        <v>421</v>
      </c>
      <c r="Z4" s="104" t="s">
        <v>422</v>
      </c>
      <c r="AA4" s="104" t="s">
        <v>423</v>
      </c>
    </row>
    <row r="5" spans="2:27" ht="20" customHeight="1">
      <c r="B5" s="104" t="s">
        <v>369</v>
      </c>
      <c r="C5" s="104"/>
      <c r="D5" s="104"/>
      <c r="E5" s="244">
        <v>0.03</v>
      </c>
      <c r="F5" s="244">
        <v>0.1</v>
      </c>
      <c r="G5" s="244">
        <v>0.1</v>
      </c>
      <c r="H5" s="244">
        <v>0.16700000000000001</v>
      </c>
      <c r="I5" s="244">
        <v>7.6999999999999999E-2</v>
      </c>
      <c r="J5" s="244">
        <v>7.6999999999999999E-2</v>
      </c>
      <c r="K5" s="244">
        <v>7.6999999999999999E-2</v>
      </c>
      <c r="L5" s="244">
        <v>7.6999999999999999E-2</v>
      </c>
      <c r="M5" s="244">
        <v>7.6999999999999999E-2</v>
      </c>
      <c r="N5" s="244">
        <v>0.2</v>
      </c>
      <c r="O5" s="244">
        <v>0.1</v>
      </c>
      <c r="P5" s="244">
        <v>0.1</v>
      </c>
      <c r="Q5" s="244">
        <v>0.16700000000000001</v>
      </c>
      <c r="R5" s="244">
        <v>0.1</v>
      </c>
      <c r="T5" s="104"/>
      <c r="U5" s="104"/>
      <c r="V5" s="104"/>
      <c r="W5" s="104"/>
      <c r="X5" s="104"/>
      <c r="Y5" s="104"/>
      <c r="Z5" s="104"/>
      <c r="AA5" s="104"/>
    </row>
    <row r="6" spans="2:27" ht="20" customHeight="1">
      <c r="B6" s="245" t="s">
        <v>373</v>
      </c>
      <c r="C6" s="245">
        <v>1</v>
      </c>
      <c r="D6" s="245">
        <v>26845</v>
      </c>
      <c r="E6" s="108">
        <v>2910</v>
      </c>
      <c r="F6" s="108"/>
      <c r="G6" s="108">
        <v>2080</v>
      </c>
      <c r="H6" s="108">
        <v>2640</v>
      </c>
      <c r="I6" s="108">
        <v>3080</v>
      </c>
      <c r="J6" s="108"/>
      <c r="K6" s="108">
        <v>14080</v>
      </c>
      <c r="L6" s="108"/>
      <c r="M6" s="108">
        <v>2530</v>
      </c>
      <c r="N6" s="108">
        <v>160</v>
      </c>
      <c r="O6" s="108">
        <v>0</v>
      </c>
      <c r="P6" s="108">
        <v>0</v>
      </c>
      <c r="Q6" s="108">
        <v>0</v>
      </c>
      <c r="R6" s="108"/>
      <c r="T6" s="120"/>
      <c r="U6" s="120"/>
      <c r="V6" s="120"/>
      <c r="W6" s="120"/>
      <c r="X6" s="120"/>
      <c r="Y6" s="120"/>
      <c r="Z6" s="120"/>
      <c r="AA6" s="120"/>
    </row>
    <row r="7" spans="2:27" ht="20" customHeight="1">
      <c r="B7" s="245" t="s">
        <v>374</v>
      </c>
      <c r="C7" s="245">
        <v>26846</v>
      </c>
      <c r="D7" s="245">
        <v>27291</v>
      </c>
      <c r="E7" s="108">
        <v>3400</v>
      </c>
      <c r="F7" s="108">
        <v>550</v>
      </c>
      <c r="G7" s="108">
        <v>2080</v>
      </c>
      <c r="H7" s="108">
        <v>3450</v>
      </c>
      <c r="I7" s="108">
        <v>6790</v>
      </c>
      <c r="J7" s="108"/>
      <c r="K7" s="108">
        <v>22390</v>
      </c>
      <c r="L7" s="108"/>
      <c r="M7" s="108">
        <v>2970</v>
      </c>
      <c r="N7" s="108">
        <v>160</v>
      </c>
      <c r="O7" s="108">
        <v>0</v>
      </c>
      <c r="P7" s="108">
        <v>0</v>
      </c>
      <c r="Q7" s="108">
        <v>0</v>
      </c>
      <c r="R7" s="108"/>
      <c r="T7" s="120"/>
      <c r="U7" s="120"/>
      <c r="V7" s="120"/>
      <c r="W7" s="120"/>
      <c r="X7" s="120"/>
      <c r="Y7" s="120"/>
      <c r="Z7" s="120"/>
      <c r="AA7" s="120"/>
    </row>
    <row r="8" spans="2:27" ht="20" customHeight="1">
      <c r="B8" s="245" t="s">
        <v>375</v>
      </c>
      <c r="C8" s="245">
        <v>27292</v>
      </c>
      <c r="D8" s="245">
        <v>27686</v>
      </c>
      <c r="E8" s="108">
        <v>6040</v>
      </c>
      <c r="F8" s="108">
        <v>950</v>
      </c>
      <c r="G8" s="108">
        <v>2780</v>
      </c>
      <c r="H8" s="108">
        <v>4910</v>
      </c>
      <c r="I8" s="108">
        <v>8440</v>
      </c>
      <c r="J8" s="108"/>
      <c r="K8" s="108">
        <v>27730</v>
      </c>
      <c r="L8" s="108"/>
      <c r="M8" s="108">
        <v>4570</v>
      </c>
      <c r="N8" s="108">
        <v>190</v>
      </c>
      <c r="O8" s="108">
        <v>0</v>
      </c>
      <c r="P8" s="108">
        <v>0</v>
      </c>
      <c r="Q8" s="108">
        <v>0</v>
      </c>
      <c r="R8" s="108"/>
      <c r="T8" s="120"/>
      <c r="U8" s="120"/>
      <c r="V8" s="120"/>
      <c r="W8" s="120"/>
      <c r="X8" s="120"/>
      <c r="Y8" s="120"/>
      <c r="Z8" s="120"/>
      <c r="AA8" s="120"/>
    </row>
    <row r="9" spans="2:27" ht="20" customHeight="1">
      <c r="B9" s="245" t="s">
        <v>376</v>
      </c>
      <c r="C9" s="245">
        <v>27687</v>
      </c>
      <c r="D9" s="245">
        <v>28134</v>
      </c>
      <c r="E9" s="108">
        <v>5840</v>
      </c>
      <c r="F9" s="108">
        <v>960</v>
      </c>
      <c r="G9" s="108">
        <v>3680</v>
      </c>
      <c r="H9" s="108">
        <v>4490</v>
      </c>
      <c r="I9" s="108">
        <v>9740</v>
      </c>
      <c r="J9" s="108"/>
      <c r="K9" s="108">
        <v>32540</v>
      </c>
      <c r="L9" s="108"/>
      <c r="M9" s="108">
        <v>4790</v>
      </c>
      <c r="N9" s="108">
        <v>270</v>
      </c>
      <c r="O9" s="108">
        <v>0</v>
      </c>
      <c r="P9" s="108">
        <v>0</v>
      </c>
      <c r="Q9" s="108">
        <v>0</v>
      </c>
      <c r="R9" s="108"/>
      <c r="T9" s="120"/>
      <c r="U9" s="120"/>
      <c r="V9" s="120"/>
      <c r="W9" s="120"/>
      <c r="X9" s="120"/>
      <c r="Y9" s="120"/>
      <c r="Z9" s="120"/>
      <c r="AA9" s="120"/>
    </row>
    <row r="10" spans="2:27" ht="20" customHeight="1">
      <c r="B10" s="245" t="s">
        <v>377</v>
      </c>
      <c r="C10" s="245">
        <v>28135</v>
      </c>
      <c r="D10" s="245">
        <v>28490</v>
      </c>
      <c r="E10" s="108">
        <v>7150</v>
      </c>
      <c r="F10" s="108">
        <v>1020</v>
      </c>
      <c r="G10" s="108">
        <v>3920</v>
      </c>
      <c r="H10" s="108">
        <v>5450</v>
      </c>
      <c r="I10" s="108">
        <v>11270</v>
      </c>
      <c r="J10" s="108"/>
      <c r="K10" s="108">
        <v>37610</v>
      </c>
      <c r="L10" s="108"/>
      <c r="M10" s="108">
        <v>5090</v>
      </c>
      <c r="N10" s="108">
        <v>280</v>
      </c>
      <c r="O10" s="108">
        <v>0</v>
      </c>
      <c r="P10" s="108">
        <v>0</v>
      </c>
      <c r="Q10" s="108">
        <v>0</v>
      </c>
      <c r="R10" s="108"/>
      <c r="T10" s="120"/>
      <c r="U10" s="120"/>
      <c r="V10" s="120"/>
      <c r="W10" s="120"/>
      <c r="X10" s="120"/>
      <c r="Y10" s="120"/>
      <c r="Z10" s="120"/>
      <c r="AA10" s="120"/>
    </row>
    <row r="11" spans="2:27" ht="20" customHeight="1">
      <c r="B11" s="245" t="s">
        <v>378</v>
      </c>
      <c r="C11" s="245">
        <v>28491</v>
      </c>
      <c r="D11" s="245">
        <v>29187</v>
      </c>
      <c r="E11" s="108">
        <v>7550</v>
      </c>
      <c r="F11" s="108">
        <v>1250</v>
      </c>
      <c r="G11" s="108">
        <v>4160</v>
      </c>
      <c r="H11" s="108">
        <v>5710</v>
      </c>
      <c r="I11" s="108">
        <v>11850</v>
      </c>
      <c r="J11" s="108"/>
      <c r="K11" s="108">
        <v>38690</v>
      </c>
      <c r="L11" s="108"/>
      <c r="M11" s="108">
        <v>5120</v>
      </c>
      <c r="N11" s="108">
        <v>300</v>
      </c>
      <c r="O11" s="108">
        <v>0</v>
      </c>
      <c r="P11" s="108">
        <v>0</v>
      </c>
      <c r="Q11" s="108">
        <v>0</v>
      </c>
      <c r="R11" s="108"/>
      <c r="T11" s="120"/>
      <c r="U11" s="120"/>
      <c r="V11" s="120"/>
      <c r="W11" s="120"/>
      <c r="X11" s="120"/>
      <c r="Y11" s="120"/>
      <c r="Z11" s="120"/>
      <c r="AA11" s="120"/>
    </row>
    <row r="12" spans="2:27" ht="20" customHeight="1">
      <c r="B12" s="245" t="s">
        <v>379</v>
      </c>
      <c r="C12" s="245">
        <v>29188</v>
      </c>
      <c r="D12" s="245">
        <v>29633</v>
      </c>
      <c r="E12" s="108">
        <v>7870</v>
      </c>
      <c r="F12" s="108">
        <v>1300</v>
      </c>
      <c r="G12" s="108">
        <v>4310</v>
      </c>
      <c r="H12" s="108">
        <v>5740</v>
      </c>
      <c r="I12" s="108">
        <v>12260</v>
      </c>
      <c r="J12" s="108"/>
      <c r="K12" s="108">
        <v>40150</v>
      </c>
      <c r="L12" s="108"/>
      <c r="M12" s="108">
        <v>5390</v>
      </c>
      <c r="N12" s="108">
        <v>310</v>
      </c>
      <c r="O12" s="108">
        <v>0</v>
      </c>
      <c r="P12" s="108">
        <v>0</v>
      </c>
      <c r="Q12" s="108">
        <v>0</v>
      </c>
      <c r="R12" s="108"/>
      <c r="T12" s="120"/>
      <c r="U12" s="120"/>
      <c r="V12" s="120"/>
      <c r="W12" s="120"/>
      <c r="X12" s="120"/>
      <c r="Y12" s="120"/>
      <c r="Z12" s="120"/>
      <c r="AA12" s="120"/>
    </row>
    <row r="13" spans="2:27" ht="20" customHeight="1">
      <c r="B13" s="245" t="s">
        <v>380</v>
      </c>
      <c r="C13" s="245">
        <v>29634</v>
      </c>
      <c r="D13" s="245">
        <v>30544</v>
      </c>
      <c r="E13" s="108">
        <v>8770</v>
      </c>
      <c r="F13" s="108">
        <v>1450</v>
      </c>
      <c r="G13" s="108">
        <v>4800</v>
      </c>
      <c r="H13" s="108">
        <v>6400</v>
      </c>
      <c r="I13" s="108">
        <v>13660</v>
      </c>
      <c r="J13" s="108"/>
      <c r="K13" s="108">
        <v>44730</v>
      </c>
      <c r="L13" s="108"/>
      <c r="M13" s="108">
        <v>6010</v>
      </c>
      <c r="N13" s="108">
        <v>350</v>
      </c>
      <c r="O13" s="108">
        <v>0</v>
      </c>
      <c r="P13" s="108">
        <v>0</v>
      </c>
      <c r="Q13" s="108">
        <v>0</v>
      </c>
      <c r="R13" s="108"/>
      <c r="T13" s="120"/>
      <c r="U13" s="120"/>
      <c r="V13" s="120"/>
      <c r="W13" s="120"/>
      <c r="X13" s="120"/>
      <c r="Y13" s="120"/>
      <c r="Z13" s="120"/>
      <c r="AA13" s="120"/>
    </row>
    <row r="14" spans="2:27" ht="20" customHeight="1">
      <c r="B14" s="245" t="s">
        <v>381</v>
      </c>
      <c r="C14" s="245">
        <v>30545</v>
      </c>
      <c r="D14" s="245">
        <v>32068</v>
      </c>
      <c r="E14" s="108">
        <v>9380</v>
      </c>
      <c r="F14" s="108">
        <v>1550</v>
      </c>
      <c r="G14" s="108">
        <v>5130</v>
      </c>
      <c r="H14" s="108">
        <v>6840</v>
      </c>
      <c r="I14" s="108">
        <v>14610</v>
      </c>
      <c r="J14" s="108"/>
      <c r="K14" s="108">
        <v>47820</v>
      </c>
      <c r="L14" s="108"/>
      <c r="M14" s="108">
        <v>6430</v>
      </c>
      <c r="N14" s="108">
        <v>380</v>
      </c>
      <c r="O14" s="108">
        <v>0</v>
      </c>
      <c r="P14" s="108">
        <v>0</v>
      </c>
      <c r="Q14" s="108">
        <v>0</v>
      </c>
      <c r="R14" s="108"/>
      <c r="T14" s="120">
        <v>4440</v>
      </c>
      <c r="U14" s="120">
        <v>2610</v>
      </c>
      <c r="V14" s="120">
        <v>1940</v>
      </c>
      <c r="W14" s="120">
        <v>1740</v>
      </c>
      <c r="X14" s="120">
        <v>1650</v>
      </c>
      <c r="Y14" s="120">
        <v>1610</v>
      </c>
      <c r="Z14" s="120">
        <v>1580</v>
      </c>
      <c r="AA14" s="120">
        <v>1570</v>
      </c>
    </row>
    <row r="15" spans="2:27" ht="20" customHeight="1">
      <c r="B15" s="245" t="s">
        <v>382</v>
      </c>
      <c r="C15" s="245">
        <v>32069</v>
      </c>
      <c r="D15" s="245">
        <v>32598</v>
      </c>
      <c r="E15" s="108">
        <v>10350</v>
      </c>
      <c r="F15" s="108">
        <v>1680</v>
      </c>
      <c r="G15" s="108">
        <v>5960</v>
      </c>
      <c r="H15" s="108">
        <v>5810</v>
      </c>
      <c r="I15" s="108">
        <v>15730</v>
      </c>
      <c r="J15" s="108">
        <v>19600</v>
      </c>
      <c r="K15" s="108">
        <v>53160</v>
      </c>
      <c r="L15" s="108">
        <v>62120</v>
      </c>
      <c r="M15" s="108">
        <v>5500</v>
      </c>
      <c r="N15" s="108">
        <v>300</v>
      </c>
      <c r="O15" s="108">
        <v>0</v>
      </c>
      <c r="P15" s="108">
        <v>0</v>
      </c>
      <c r="Q15" s="108">
        <v>0</v>
      </c>
      <c r="R15" s="108"/>
      <c r="T15" s="120">
        <v>4980</v>
      </c>
      <c r="U15" s="120">
        <v>2230</v>
      </c>
      <c r="V15" s="120">
        <v>1600</v>
      </c>
      <c r="W15" s="120">
        <v>1575</v>
      </c>
      <c r="X15" s="120">
        <v>1565</v>
      </c>
      <c r="Y15" s="120">
        <v>1550</v>
      </c>
      <c r="Z15" s="120">
        <v>1540</v>
      </c>
      <c r="AA15" s="120">
        <v>1530</v>
      </c>
    </row>
    <row r="16" spans="2:27" ht="20" customHeight="1">
      <c r="B16" s="245" t="s">
        <v>383</v>
      </c>
      <c r="C16" s="245">
        <v>32599</v>
      </c>
      <c r="D16" s="245">
        <v>36482</v>
      </c>
      <c r="E16" s="108">
        <v>10485</v>
      </c>
      <c r="F16" s="108">
        <v>1700</v>
      </c>
      <c r="G16" s="108">
        <v>6040</v>
      </c>
      <c r="H16" s="108">
        <v>5885</v>
      </c>
      <c r="I16" s="108">
        <v>15935</v>
      </c>
      <c r="J16" s="108">
        <v>19855</v>
      </c>
      <c r="K16" s="108">
        <v>53850</v>
      </c>
      <c r="L16" s="108">
        <v>62930</v>
      </c>
      <c r="M16" s="108">
        <v>5570</v>
      </c>
      <c r="N16" s="108">
        <v>305</v>
      </c>
      <c r="O16" s="108">
        <v>0</v>
      </c>
      <c r="P16" s="108">
        <v>0</v>
      </c>
      <c r="Q16" s="108">
        <v>0</v>
      </c>
      <c r="R16" s="108"/>
      <c r="T16" s="120">
        <v>4880</v>
      </c>
      <c r="U16" s="120">
        <v>2190</v>
      </c>
      <c r="V16" s="120">
        <v>1565</v>
      </c>
      <c r="W16" s="120">
        <v>1540</v>
      </c>
      <c r="X16" s="120">
        <v>1530</v>
      </c>
      <c r="Y16" s="120">
        <v>1520</v>
      </c>
      <c r="Z16" s="120">
        <v>1505</v>
      </c>
      <c r="AA16" s="120">
        <v>1495</v>
      </c>
    </row>
    <row r="17" spans="2:27" ht="20" customHeight="1">
      <c r="B17" s="245" t="s">
        <v>384</v>
      </c>
      <c r="C17" s="245">
        <v>36483</v>
      </c>
      <c r="D17" s="245">
        <v>37986</v>
      </c>
      <c r="E17" s="108">
        <v>12670</v>
      </c>
      <c r="F17" s="108">
        <v>4960</v>
      </c>
      <c r="G17" s="108">
        <v>10590</v>
      </c>
      <c r="H17" s="108">
        <v>5270</v>
      </c>
      <c r="I17" s="108">
        <v>26170</v>
      </c>
      <c r="J17" s="108">
        <v>32810</v>
      </c>
      <c r="K17" s="108">
        <v>88660</v>
      </c>
      <c r="L17" s="108">
        <v>108630</v>
      </c>
      <c r="M17" s="108">
        <v>14290</v>
      </c>
      <c r="N17" s="108">
        <v>390</v>
      </c>
      <c r="O17" s="108">
        <v>0</v>
      </c>
      <c r="P17" s="108">
        <v>0</v>
      </c>
      <c r="Q17" s="108">
        <v>0</v>
      </c>
      <c r="R17" s="108"/>
      <c r="T17" s="120">
        <v>7250</v>
      </c>
      <c r="U17" s="120">
        <v>5330</v>
      </c>
      <c r="V17" s="120">
        <v>4450</v>
      </c>
      <c r="W17" s="120">
        <v>4140</v>
      </c>
      <c r="X17" s="120">
        <v>4000</v>
      </c>
      <c r="Y17" s="120">
        <v>3910</v>
      </c>
      <c r="Z17" s="120">
        <v>3700</v>
      </c>
      <c r="AA17" s="120">
        <v>3560</v>
      </c>
    </row>
    <row r="18" spans="2:27" ht="20" customHeight="1">
      <c r="B18" s="245" t="s">
        <v>385</v>
      </c>
      <c r="C18" s="245">
        <v>37987</v>
      </c>
      <c r="D18" s="245">
        <v>39208</v>
      </c>
      <c r="E18" s="108">
        <v>11520</v>
      </c>
      <c r="F18" s="108">
        <v>4430</v>
      </c>
      <c r="G18" s="108">
        <v>10560</v>
      </c>
      <c r="H18" s="108">
        <v>4560</v>
      </c>
      <c r="I18" s="108">
        <v>30570</v>
      </c>
      <c r="J18" s="108">
        <v>32380</v>
      </c>
      <c r="K18" s="108">
        <v>98230</v>
      </c>
      <c r="L18" s="108">
        <v>105990</v>
      </c>
      <c r="M18" s="108">
        <v>13940</v>
      </c>
      <c r="N18" s="108">
        <v>810</v>
      </c>
      <c r="O18" s="108">
        <v>0</v>
      </c>
      <c r="P18" s="108">
        <v>0</v>
      </c>
      <c r="Q18" s="108">
        <v>0</v>
      </c>
      <c r="R18" s="108"/>
      <c r="T18" s="120">
        <v>7270</v>
      </c>
      <c r="U18" s="120">
        <v>5450</v>
      </c>
      <c r="V18" s="120">
        <v>4540</v>
      </c>
      <c r="W18" s="120">
        <v>4240</v>
      </c>
      <c r="X18" s="120">
        <v>4090</v>
      </c>
      <c r="Y18" s="120">
        <v>4000</v>
      </c>
      <c r="Z18" s="120">
        <v>3790</v>
      </c>
      <c r="AA18" s="120">
        <v>3640</v>
      </c>
    </row>
    <row r="19" spans="2:27" ht="20" customHeight="1">
      <c r="B19" s="245" t="s">
        <v>386</v>
      </c>
      <c r="C19" s="245">
        <v>39209</v>
      </c>
      <c r="D19" s="245">
        <v>40268</v>
      </c>
      <c r="E19" s="108">
        <v>12350</v>
      </c>
      <c r="F19" s="108">
        <v>4230</v>
      </c>
      <c r="G19" s="108">
        <v>10980</v>
      </c>
      <c r="H19" s="108">
        <v>4320</v>
      </c>
      <c r="I19" s="108">
        <v>33270</v>
      </c>
      <c r="J19" s="108">
        <v>32080</v>
      </c>
      <c r="K19" s="108">
        <v>108160</v>
      </c>
      <c r="L19" s="108">
        <v>103690</v>
      </c>
      <c r="M19" s="108">
        <v>13020</v>
      </c>
      <c r="N19" s="108">
        <v>390</v>
      </c>
      <c r="O19" s="108">
        <v>32410</v>
      </c>
      <c r="P19" s="108">
        <v>12350</v>
      </c>
      <c r="Q19" s="108">
        <v>8400</v>
      </c>
      <c r="R19" s="108"/>
      <c r="T19" s="120">
        <v>7900</v>
      </c>
      <c r="U19" s="120">
        <v>5930</v>
      </c>
      <c r="V19" s="120">
        <v>4940</v>
      </c>
      <c r="W19" s="120">
        <v>4610</v>
      </c>
      <c r="X19" s="120">
        <v>4440</v>
      </c>
      <c r="Y19" s="120">
        <v>4340</v>
      </c>
      <c r="Z19" s="120">
        <v>4110</v>
      </c>
      <c r="AA19" s="120">
        <v>3950</v>
      </c>
    </row>
    <row r="20" spans="2:27" ht="20" customHeight="1">
      <c r="B20" s="245" t="s">
        <v>387</v>
      </c>
      <c r="C20" s="245">
        <v>40269</v>
      </c>
      <c r="D20" s="245">
        <v>41364</v>
      </c>
      <c r="E20" s="108">
        <v>9100</v>
      </c>
      <c r="F20" s="108">
        <v>3660</v>
      </c>
      <c r="G20" s="108">
        <v>10460</v>
      </c>
      <c r="H20" s="108">
        <v>2990</v>
      </c>
      <c r="I20" s="108">
        <v>35440</v>
      </c>
      <c r="J20" s="108">
        <v>32280</v>
      </c>
      <c r="K20" s="108">
        <v>114430</v>
      </c>
      <c r="L20" s="108">
        <v>104610</v>
      </c>
      <c r="M20" s="108">
        <v>11010</v>
      </c>
      <c r="N20" s="108">
        <v>380</v>
      </c>
      <c r="O20" s="108">
        <v>17390</v>
      </c>
      <c r="P20" s="108">
        <v>13610</v>
      </c>
      <c r="Q20" s="108">
        <v>9670</v>
      </c>
      <c r="R20" s="108">
        <v>18520</v>
      </c>
      <c r="T20" s="120">
        <v>8240</v>
      </c>
      <c r="U20" s="120">
        <v>6180</v>
      </c>
      <c r="V20" s="120">
        <v>5150</v>
      </c>
      <c r="W20" s="120">
        <v>4810</v>
      </c>
      <c r="X20" s="120">
        <v>4640</v>
      </c>
      <c r="Y20" s="120">
        <v>4530</v>
      </c>
      <c r="Z20" s="120">
        <v>4290</v>
      </c>
      <c r="AA20" s="120">
        <v>4120</v>
      </c>
    </row>
    <row r="21" spans="2:27" ht="20" customHeight="1">
      <c r="B21" s="245" t="s">
        <v>388</v>
      </c>
      <c r="C21" s="245">
        <v>41365</v>
      </c>
      <c r="D21" s="245">
        <v>42825</v>
      </c>
      <c r="E21" s="108">
        <v>9060</v>
      </c>
      <c r="F21" s="108">
        <v>4360</v>
      </c>
      <c r="G21" s="108">
        <v>9620</v>
      </c>
      <c r="H21" s="108">
        <v>2910</v>
      </c>
      <c r="I21" s="108">
        <v>36340</v>
      </c>
      <c r="J21" s="108">
        <v>32250</v>
      </c>
      <c r="K21" s="108">
        <v>116810</v>
      </c>
      <c r="L21" s="108">
        <v>103950</v>
      </c>
      <c r="M21" s="108">
        <v>9950</v>
      </c>
      <c r="N21" s="108">
        <v>320</v>
      </c>
      <c r="O21" s="108">
        <v>17170</v>
      </c>
      <c r="P21" s="108">
        <v>11740</v>
      </c>
      <c r="Q21" s="108">
        <v>8950</v>
      </c>
      <c r="R21" s="108">
        <v>19580</v>
      </c>
      <c r="T21" s="120">
        <v>8310</v>
      </c>
      <c r="U21" s="120">
        <v>6230</v>
      </c>
      <c r="V21" s="120">
        <v>5190</v>
      </c>
      <c r="W21" s="120">
        <v>4850</v>
      </c>
      <c r="X21" s="120">
        <v>4670</v>
      </c>
      <c r="Y21" s="120">
        <v>4570</v>
      </c>
      <c r="Z21" s="120">
        <v>4330</v>
      </c>
      <c r="AA21" s="120">
        <v>4150</v>
      </c>
    </row>
    <row r="22" spans="2:27" ht="20" customHeight="1">
      <c r="B22" s="245" t="s">
        <v>389</v>
      </c>
      <c r="C22" s="245">
        <v>42826</v>
      </c>
      <c r="D22" s="245">
        <v>44033</v>
      </c>
      <c r="E22" s="108">
        <v>10950</v>
      </c>
      <c r="F22" s="108">
        <v>4930</v>
      </c>
      <c r="G22" s="108">
        <v>10070</v>
      </c>
      <c r="H22" s="108">
        <v>2790</v>
      </c>
      <c r="I22" s="108">
        <v>40820</v>
      </c>
      <c r="J22" s="108">
        <v>35620</v>
      </c>
      <c r="K22" s="108">
        <v>132770</v>
      </c>
      <c r="L22" s="108">
        <v>117540</v>
      </c>
      <c r="M22" s="108">
        <v>9650</v>
      </c>
      <c r="N22" s="108">
        <v>340</v>
      </c>
      <c r="O22" s="108">
        <v>19670</v>
      </c>
      <c r="P22" s="108">
        <v>11500</v>
      </c>
      <c r="Q22" s="108">
        <v>8900</v>
      </c>
      <c r="R22" s="108">
        <v>20400</v>
      </c>
      <c r="T22" s="120">
        <v>8560</v>
      </c>
      <c r="U22" s="120">
        <v>6420</v>
      </c>
      <c r="V22" s="120">
        <v>5350</v>
      </c>
      <c r="W22" s="120">
        <v>4990</v>
      </c>
      <c r="X22" s="120">
        <v>4810</v>
      </c>
      <c r="Y22" s="120">
        <v>4700</v>
      </c>
      <c r="Z22" s="120">
        <v>4450</v>
      </c>
      <c r="AA22" s="120">
        <v>4280</v>
      </c>
    </row>
    <row r="23" spans="2:27" ht="20" customHeight="1">
      <c r="B23" s="245" t="s">
        <v>390</v>
      </c>
      <c r="C23" s="245">
        <v>44034</v>
      </c>
      <c r="D23" s="245">
        <v>45168</v>
      </c>
      <c r="E23" s="108">
        <v>11910</v>
      </c>
      <c r="F23" s="108">
        <v>5030</v>
      </c>
      <c r="G23" s="108">
        <v>10660</v>
      </c>
      <c r="H23" s="108">
        <v>3010</v>
      </c>
      <c r="I23" s="108">
        <v>40820</v>
      </c>
      <c r="J23" s="108">
        <v>35620</v>
      </c>
      <c r="K23" s="108">
        <v>132770</v>
      </c>
      <c r="L23" s="108">
        <v>123680</v>
      </c>
      <c r="M23" s="108">
        <v>9720</v>
      </c>
      <c r="N23" s="108">
        <v>380</v>
      </c>
      <c r="O23" s="108">
        <v>20590</v>
      </c>
      <c r="P23" s="108">
        <v>12180</v>
      </c>
      <c r="Q23" s="108">
        <v>9000</v>
      </c>
      <c r="R23" s="108">
        <v>20780</v>
      </c>
      <c r="T23" s="120">
        <v>8910</v>
      </c>
      <c r="U23" s="120">
        <v>6680</v>
      </c>
      <c r="V23" s="120">
        <v>5570</v>
      </c>
      <c r="W23" s="120">
        <v>5200</v>
      </c>
      <c r="X23" s="120">
        <v>5010</v>
      </c>
      <c r="Y23" s="120">
        <v>4900</v>
      </c>
      <c r="Z23" s="120">
        <v>4640</v>
      </c>
      <c r="AA23" s="120">
        <v>4450</v>
      </c>
    </row>
    <row r="24" spans="2:27" ht="20" customHeight="1">
      <c r="B24" s="245" t="s">
        <v>391</v>
      </c>
      <c r="C24" s="245">
        <v>45169</v>
      </c>
      <c r="D24" s="245">
        <v>2958465</v>
      </c>
      <c r="E24" s="108">
        <v>12550</v>
      </c>
      <c r="F24" s="108">
        <v>5170</v>
      </c>
      <c r="G24" s="108">
        <v>12340</v>
      </c>
      <c r="H24" s="108">
        <v>4190</v>
      </c>
      <c r="I24" s="108">
        <v>40820</v>
      </c>
      <c r="J24" s="108">
        <v>35620</v>
      </c>
      <c r="K24" s="108">
        <v>132770</v>
      </c>
      <c r="L24" s="108">
        <v>133910</v>
      </c>
      <c r="M24" s="108">
        <v>9950</v>
      </c>
      <c r="N24" s="108">
        <v>420</v>
      </c>
      <c r="O24" s="108">
        <v>21120</v>
      </c>
      <c r="P24" s="108">
        <v>14880</v>
      </c>
      <c r="Q24" s="108">
        <v>10320</v>
      </c>
      <c r="R24" s="108">
        <v>22700</v>
      </c>
      <c r="T24" s="120">
        <v>13950</v>
      </c>
      <c r="U24" s="120">
        <v>10460</v>
      </c>
      <c r="V24" s="120">
        <v>8720</v>
      </c>
      <c r="W24" s="120">
        <v>8140</v>
      </c>
      <c r="X24" s="120">
        <v>7850</v>
      </c>
      <c r="Y24" s="120">
        <v>7670</v>
      </c>
      <c r="Z24" s="120">
        <v>7270</v>
      </c>
      <c r="AA24" s="120">
        <v>6970</v>
      </c>
    </row>
    <row r="25" spans="2:27" ht="25" customHeight="1"/>
    <row r="30" spans="2:27">
      <c r="H30" s="99"/>
      <c r="K30" s="99"/>
    </row>
    <row r="31" spans="2:27">
      <c r="H31" s="99"/>
    </row>
    <row r="32" spans="2:27">
      <c r="H32" s="99"/>
    </row>
    <row r="33" spans="8:8">
      <c r="H33" s="99"/>
    </row>
    <row r="34" spans="8:8">
      <c r="H34" s="99"/>
    </row>
    <row r="35" spans="8:8">
      <c r="H35" s="99"/>
    </row>
    <row r="36" spans="8:8">
      <c r="H36" s="99"/>
    </row>
    <row r="37" spans="8:8">
      <c r="H37" s="99"/>
    </row>
    <row r="38" spans="8:8">
      <c r="H38" s="99"/>
    </row>
    <row r="39" spans="8:8">
      <c r="H39" s="99"/>
    </row>
    <row r="40" spans="8:8">
      <c r="H40" s="99"/>
    </row>
    <row r="41" spans="8:8">
      <c r="H41" s="99"/>
    </row>
    <row r="42" spans="8:8">
      <c r="H42" s="99"/>
    </row>
    <row r="43" spans="8:8">
      <c r="H43" s="99"/>
    </row>
    <row r="44" spans="8:8">
      <c r="H44" s="99"/>
    </row>
    <row r="45" spans="8:8">
      <c r="H45" s="99"/>
    </row>
    <row r="46" spans="8:8">
      <c r="H46" s="99"/>
    </row>
    <row r="47" spans="8:8">
      <c r="H47" s="99"/>
    </row>
    <row r="48" spans="8:8">
      <c r="H48" s="99"/>
    </row>
  </sheetData>
  <phoneticPr fontId="2"/>
  <pageMargins left="0.70866141732283472" right="0.70866141732283472" top="0.74803149606299213" bottom="0.74803149606299213" header="0.31496062992125984" footer="0.31496062992125984"/>
  <pageSetup paperSize="9" scale="46" orientation="landscape" horizontalDpi="0" verticalDpi="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18C8B-FFB1-394B-A12A-08DF73A7FE9B}">
  <sheetPr codeName="Sheet10">
    <tabColor rgb="FFFFFF00"/>
  </sheetPr>
  <dimension ref="B1:AI50"/>
  <sheetViews>
    <sheetView showGridLines="0" showRowColHeaders="0" zoomScaleNormal="100" workbookViewId="0"/>
  </sheetViews>
  <sheetFormatPr baseColWidth="10" defaultColWidth="10.7109375" defaultRowHeight="15"/>
  <cols>
    <col min="1" max="1" width="3.7109375" style="97" customWidth="1"/>
    <col min="2" max="2" width="6.42578125" style="97" customWidth="1"/>
    <col min="3" max="7" width="10.7109375" style="97"/>
    <col min="8" max="8" width="5.7109375" style="97" customWidth="1"/>
    <col min="9" max="9" width="5.42578125" style="97" customWidth="1"/>
    <col min="10" max="10" width="45.7109375" style="97" bestFit="1" customWidth="1"/>
    <col min="11" max="11" width="7.7109375" style="97" bestFit="1" customWidth="1"/>
    <col min="12" max="12" width="7.140625" style="97" bestFit="1" customWidth="1"/>
    <col min="13" max="13" width="22.7109375" style="97" bestFit="1" customWidth="1"/>
    <col min="14" max="14" width="5.7109375" style="97" customWidth="1"/>
    <col min="15" max="15" width="7.140625" style="97" customWidth="1"/>
    <col min="16" max="16" width="21.28515625" style="97" bestFit="1" customWidth="1"/>
    <col min="17" max="17" width="7.28515625" style="97" customWidth="1"/>
    <col min="18" max="18" width="13.5703125" style="97" bestFit="1" customWidth="1"/>
    <col min="19" max="19" width="8" style="97" customWidth="1"/>
    <col min="20" max="20" width="41.140625" style="97" customWidth="1"/>
    <col min="21" max="24" width="6.7109375" style="97" customWidth="1"/>
    <col min="25" max="25" width="5" style="97" customWidth="1"/>
    <col min="26" max="26" width="7.7109375" style="97" customWidth="1"/>
    <col min="27" max="29" width="8.42578125" style="97" customWidth="1"/>
    <col min="30" max="30" width="5" style="97" customWidth="1"/>
    <col min="31" max="32" width="6.85546875" style="97" customWidth="1"/>
    <col min="33" max="33" width="21.28515625" style="97" bestFit="1" customWidth="1"/>
    <col min="34" max="16384" width="10.7109375" style="97"/>
  </cols>
  <sheetData>
    <row r="1" spans="2:35" ht="25" customHeight="1"/>
    <row r="2" spans="2:35" ht="25" customHeight="1">
      <c r="B2" s="97" t="s">
        <v>317</v>
      </c>
      <c r="I2" s="97" t="s">
        <v>657</v>
      </c>
      <c r="O2" s="97" t="s">
        <v>658</v>
      </c>
      <c r="Z2" s="97" t="s">
        <v>463</v>
      </c>
      <c r="AE2" s="97" t="s">
        <v>315</v>
      </c>
    </row>
    <row r="3" spans="2:35" ht="35" customHeight="1">
      <c r="B3" s="393" t="s">
        <v>307</v>
      </c>
      <c r="C3" s="104" t="s">
        <v>306</v>
      </c>
      <c r="D3" s="104" t="s">
        <v>158</v>
      </c>
      <c r="E3" s="104" t="s">
        <v>81</v>
      </c>
      <c r="F3" s="104" t="s">
        <v>308</v>
      </c>
      <c r="G3" s="104" t="s">
        <v>309</v>
      </c>
      <c r="H3" s="98"/>
      <c r="I3" s="104" t="s">
        <v>206</v>
      </c>
      <c r="J3" s="104" t="s">
        <v>207</v>
      </c>
      <c r="K3" s="104" t="s">
        <v>208</v>
      </c>
      <c r="L3" s="104" t="s">
        <v>209</v>
      </c>
      <c r="M3" s="104" t="s">
        <v>210</v>
      </c>
      <c r="N3" s="98"/>
      <c r="O3" s="104" t="s">
        <v>253</v>
      </c>
      <c r="P3" s="104" t="s">
        <v>254</v>
      </c>
      <c r="Q3" s="104" t="s">
        <v>255</v>
      </c>
      <c r="R3" s="104" t="s">
        <v>256</v>
      </c>
      <c r="S3" s="104" t="s">
        <v>320</v>
      </c>
      <c r="T3" s="104" t="s">
        <v>361</v>
      </c>
      <c r="U3" s="104" t="s">
        <v>257</v>
      </c>
      <c r="V3" s="104" t="s">
        <v>258</v>
      </c>
      <c r="W3" s="104" t="s">
        <v>259</v>
      </c>
      <c r="X3" s="104" t="s">
        <v>260</v>
      </c>
      <c r="Y3" s="98"/>
      <c r="Z3" s="104" t="s">
        <v>311</v>
      </c>
      <c r="AA3" s="104" t="s">
        <v>312</v>
      </c>
      <c r="AB3" s="104" t="s">
        <v>287</v>
      </c>
      <c r="AC3" s="104" t="s">
        <v>288</v>
      </c>
      <c r="AD3" s="98"/>
      <c r="AE3" s="104" t="s">
        <v>314</v>
      </c>
      <c r="AF3" s="104" t="s">
        <v>292</v>
      </c>
      <c r="AG3" s="104" t="s">
        <v>293</v>
      </c>
      <c r="AH3" s="104" t="s">
        <v>294</v>
      </c>
      <c r="AI3" s="98"/>
    </row>
    <row r="4" spans="2:35">
      <c r="B4" s="110">
        <v>1</v>
      </c>
      <c r="C4" s="110" t="s">
        <v>159</v>
      </c>
      <c r="D4" s="110">
        <v>8.8000000000000007</v>
      </c>
      <c r="E4" s="108">
        <v>5683000</v>
      </c>
      <c r="F4" s="110">
        <v>0.215</v>
      </c>
      <c r="G4" s="110">
        <v>0.47599999999999998</v>
      </c>
      <c r="I4" s="110">
        <v>1</v>
      </c>
      <c r="J4" s="405" t="s">
        <v>637</v>
      </c>
      <c r="K4" s="110">
        <v>3.2000000000000002E-3</v>
      </c>
      <c r="L4" s="110" t="s">
        <v>211</v>
      </c>
      <c r="M4" s="405" t="s">
        <v>212</v>
      </c>
      <c r="O4" s="110">
        <v>1</v>
      </c>
      <c r="P4" s="110" t="s">
        <v>261</v>
      </c>
      <c r="Q4" s="110">
        <v>1</v>
      </c>
      <c r="R4" s="110" t="s">
        <v>262</v>
      </c>
      <c r="S4" s="110" t="s">
        <v>321</v>
      </c>
      <c r="T4" s="110" t="str">
        <f>P4&amp;"_"&amp;R4</f>
        <v>３トン未満_50ｷﾛｸﾞﾗﾑ容器</v>
      </c>
      <c r="U4" s="110">
        <v>127</v>
      </c>
      <c r="V4" s="110">
        <v>211</v>
      </c>
      <c r="W4" s="110">
        <v>295</v>
      </c>
      <c r="X4" s="110">
        <v>295</v>
      </c>
      <c r="Z4" s="110">
        <v>1</v>
      </c>
      <c r="AA4" s="110" t="s">
        <v>289</v>
      </c>
      <c r="AB4" s="110">
        <v>700</v>
      </c>
      <c r="AC4" s="110">
        <v>190</v>
      </c>
      <c r="AE4" s="110">
        <v>2</v>
      </c>
      <c r="AF4" s="110">
        <v>1</v>
      </c>
      <c r="AG4" s="110" t="s">
        <v>80</v>
      </c>
      <c r="AH4" s="110">
        <v>0.40589999999999998</v>
      </c>
    </row>
    <row r="5" spans="2:35">
      <c r="B5" s="110">
        <v>2</v>
      </c>
      <c r="C5" s="110" t="s">
        <v>160</v>
      </c>
      <c r="D5" s="110">
        <v>7</v>
      </c>
      <c r="E5" s="108">
        <v>4927000</v>
      </c>
      <c r="F5" s="110">
        <v>0.215</v>
      </c>
      <c r="G5" s="110">
        <v>0.47599999999999998</v>
      </c>
      <c r="I5" s="110">
        <v>2</v>
      </c>
      <c r="J5" s="405" t="s">
        <v>638</v>
      </c>
      <c r="K5" s="110">
        <v>3.0999999999999999E-3</v>
      </c>
      <c r="L5" s="110" t="s">
        <v>211</v>
      </c>
      <c r="M5" s="405" t="s">
        <v>212</v>
      </c>
      <c r="O5" s="110">
        <v>2</v>
      </c>
      <c r="P5" s="110" t="s">
        <v>261</v>
      </c>
      <c r="Q5" s="110">
        <v>3</v>
      </c>
      <c r="R5" s="110" t="s">
        <v>656</v>
      </c>
      <c r="S5" s="110" t="s">
        <v>322</v>
      </c>
      <c r="T5" s="110" t="str">
        <f t="shared" ref="T5:T20" si="0">P5&amp;"_"&amp;R5</f>
        <v>３トン未満_貯槽(バルク)</v>
      </c>
      <c r="U5" s="110">
        <v>124</v>
      </c>
      <c r="V5" s="110">
        <v>282</v>
      </c>
      <c r="W5" s="110">
        <v>439</v>
      </c>
      <c r="X5" s="110">
        <v>525</v>
      </c>
      <c r="Z5" s="110">
        <v>2</v>
      </c>
      <c r="AA5" s="110" t="s">
        <v>290</v>
      </c>
      <c r="AB5" s="110">
        <v>580</v>
      </c>
      <c r="AC5" s="110">
        <v>150</v>
      </c>
      <c r="AE5" s="110">
        <v>2</v>
      </c>
      <c r="AF5" s="110">
        <v>2</v>
      </c>
      <c r="AG5" s="110" t="s">
        <v>72</v>
      </c>
      <c r="AH5" s="110">
        <v>0.59409999999999996</v>
      </c>
    </row>
    <row r="6" spans="2:35">
      <c r="B6" s="110">
        <v>3</v>
      </c>
      <c r="C6" s="110" t="s">
        <v>161</v>
      </c>
      <c r="D6" s="110">
        <v>9.5</v>
      </c>
      <c r="E6" s="108">
        <v>5241000</v>
      </c>
      <c r="F6" s="110">
        <v>0.215</v>
      </c>
      <c r="G6" s="110">
        <v>0.47599999999999998</v>
      </c>
      <c r="I6" s="110">
        <v>3</v>
      </c>
      <c r="J6" s="405" t="s">
        <v>459</v>
      </c>
      <c r="K6" s="110">
        <v>0.03</v>
      </c>
      <c r="L6" s="110" t="s">
        <v>211</v>
      </c>
      <c r="M6" s="405" t="s">
        <v>213</v>
      </c>
      <c r="O6" s="110">
        <v>3</v>
      </c>
      <c r="P6" s="110" t="s">
        <v>264</v>
      </c>
      <c r="Q6" s="110">
        <v>1</v>
      </c>
      <c r="R6" s="110" t="s">
        <v>262</v>
      </c>
      <c r="S6" s="110" t="s">
        <v>323</v>
      </c>
      <c r="T6" s="110" t="str">
        <f t="shared" si="0"/>
        <v>３トン以上５トン未満_50ｷﾛｸﾞﾗﾑ容器</v>
      </c>
      <c r="U6" s="110">
        <v>137</v>
      </c>
      <c r="V6" s="110">
        <v>243</v>
      </c>
      <c r="W6" s="110">
        <v>349</v>
      </c>
      <c r="X6" s="110">
        <v>373</v>
      </c>
      <c r="Z6" s="110">
        <v>3</v>
      </c>
      <c r="AA6" s="110" t="s">
        <v>291</v>
      </c>
      <c r="AB6" s="110">
        <v>440</v>
      </c>
      <c r="AC6" s="110">
        <v>120</v>
      </c>
      <c r="AE6" s="110">
        <v>1</v>
      </c>
      <c r="AF6" s="110">
        <v>1</v>
      </c>
      <c r="AG6" s="110" t="s">
        <v>295</v>
      </c>
      <c r="AH6" s="110">
        <v>0.83399999999999996</v>
      </c>
    </row>
    <row r="7" spans="2:35">
      <c r="B7" s="110">
        <v>4</v>
      </c>
      <c r="C7" s="110" t="s">
        <v>162</v>
      </c>
      <c r="D7" s="110">
        <v>13</v>
      </c>
      <c r="E7" s="108">
        <v>5521000</v>
      </c>
      <c r="F7" s="110">
        <v>0.21</v>
      </c>
      <c r="G7" s="110">
        <v>0.48799999999999999</v>
      </c>
      <c r="I7" s="110">
        <v>4</v>
      </c>
      <c r="J7" s="405" t="s">
        <v>214</v>
      </c>
      <c r="K7" s="110">
        <v>0.15</v>
      </c>
      <c r="L7" s="110" t="s">
        <v>211</v>
      </c>
      <c r="M7" s="405" t="s">
        <v>215</v>
      </c>
      <c r="O7" s="110">
        <v>4</v>
      </c>
      <c r="P7" s="110" t="s">
        <v>264</v>
      </c>
      <c r="Q7" s="110">
        <v>2</v>
      </c>
      <c r="R7" s="110" t="s">
        <v>265</v>
      </c>
      <c r="S7" s="110" t="s">
        <v>324</v>
      </c>
      <c r="T7" s="110" t="str">
        <f t="shared" si="0"/>
        <v>３トン以上５トン未満_500ｷﾛｸﾞﾗﾑ容器</v>
      </c>
      <c r="U7" s="110">
        <v>359</v>
      </c>
      <c r="V7" s="110">
        <v>359</v>
      </c>
      <c r="W7" s="110">
        <v>419</v>
      </c>
      <c r="X7" s="110">
        <v>445</v>
      </c>
      <c r="AE7" s="110">
        <v>1</v>
      </c>
      <c r="AF7" s="110">
        <v>2</v>
      </c>
      <c r="AG7" s="110" t="s">
        <v>296</v>
      </c>
      <c r="AH7" s="110">
        <v>0.16600000000000001</v>
      </c>
    </row>
    <row r="8" spans="2:35">
      <c r="B8" s="110">
        <v>5</v>
      </c>
      <c r="C8" s="110" t="s">
        <v>163</v>
      </c>
      <c r="D8" s="110">
        <v>7.3</v>
      </c>
      <c r="E8" s="108">
        <v>5114000</v>
      </c>
      <c r="F8" s="226">
        <v>0.215</v>
      </c>
      <c r="G8" s="226">
        <v>0.47599999999999998</v>
      </c>
      <c r="I8" s="110">
        <v>5</v>
      </c>
      <c r="J8" s="405" t="s">
        <v>216</v>
      </c>
      <c r="K8" s="110">
        <v>2.7199999999999998E-2</v>
      </c>
      <c r="L8" s="110" t="s">
        <v>211</v>
      </c>
      <c r="M8" s="405" t="s">
        <v>215</v>
      </c>
      <c r="O8" s="110">
        <v>5</v>
      </c>
      <c r="P8" s="110" t="s">
        <v>264</v>
      </c>
      <c r="Q8" s="110">
        <v>3</v>
      </c>
      <c r="R8" s="110" t="s">
        <v>263</v>
      </c>
      <c r="S8" s="110" t="s">
        <v>325</v>
      </c>
      <c r="T8" s="110" t="str">
        <f t="shared" si="0"/>
        <v>３トン以上５トン未満_貯槽(バルク)</v>
      </c>
      <c r="U8" s="110">
        <v>139</v>
      </c>
      <c r="V8" s="110">
        <v>294</v>
      </c>
      <c r="W8" s="110">
        <v>449</v>
      </c>
      <c r="X8" s="110">
        <v>538</v>
      </c>
      <c r="Z8" s="97" t="s">
        <v>310</v>
      </c>
    </row>
    <row r="9" spans="2:35">
      <c r="B9" s="110">
        <v>6</v>
      </c>
      <c r="C9" s="110" t="s">
        <v>164</v>
      </c>
      <c r="D9" s="110">
        <v>12.2</v>
      </c>
      <c r="E9" s="108">
        <v>5328000</v>
      </c>
      <c r="F9" s="110">
        <v>0.21</v>
      </c>
      <c r="G9" s="110">
        <v>0.48799999999999999</v>
      </c>
      <c r="I9" s="110">
        <v>6</v>
      </c>
      <c r="J9" s="405" t="s">
        <v>217</v>
      </c>
      <c r="K9" s="110">
        <v>1.7000000000000001E-2</v>
      </c>
      <c r="L9" s="110" t="s">
        <v>211</v>
      </c>
      <c r="M9" s="405" t="s">
        <v>218</v>
      </c>
      <c r="O9" s="110">
        <v>6</v>
      </c>
      <c r="P9" s="110" t="s">
        <v>266</v>
      </c>
      <c r="Q9" s="110">
        <v>1</v>
      </c>
      <c r="R9" s="110" t="s">
        <v>262</v>
      </c>
      <c r="S9" s="110" t="s">
        <v>326</v>
      </c>
      <c r="T9" s="110" t="str">
        <f t="shared" si="0"/>
        <v>５トン以上７トン未満_50ｷﾛｸﾞﾗﾑ容器</v>
      </c>
      <c r="U9" s="110">
        <v>166</v>
      </c>
      <c r="V9" s="110">
        <v>286</v>
      </c>
      <c r="W9" s="110">
        <v>406</v>
      </c>
      <c r="X9" s="110">
        <v>431</v>
      </c>
      <c r="AE9" s="97" t="s">
        <v>313</v>
      </c>
    </row>
    <row r="10" spans="2:35">
      <c r="B10" s="110">
        <v>7</v>
      </c>
      <c r="C10" s="110" t="s">
        <v>165</v>
      </c>
      <c r="D10" s="110">
        <v>12.2</v>
      </c>
      <c r="E10" s="108">
        <v>5411000</v>
      </c>
      <c r="F10" s="110">
        <v>0.21</v>
      </c>
      <c r="G10" s="110">
        <v>0.48799999999999999</v>
      </c>
      <c r="I10" s="110">
        <v>7</v>
      </c>
      <c r="J10" s="405" t="s">
        <v>219</v>
      </c>
      <c r="K10" s="110">
        <v>1.4E-2</v>
      </c>
      <c r="L10" s="110" t="s">
        <v>211</v>
      </c>
      <c r="M10" s="405" t="s">
        <v>218</v>
      </c>
      <c r="O10" s="110">
        <v>7</v>
      </c>
      <c r="P10" s="110" t="s">
        <v>266</v>
      </c>
      <c r="Q10" s="110">
        <v>2</v>
      </c>
      <c r="R10" s="110" t="s">
        <v>265</v>
      </c>
      <c r="S10" s="110" t="s">
        <v>327</v>
      </c>
      <c r="T10" s="110" t="str">
        <f t="shared" si="0"/>
        <v>５トン以上７トン未満_500ｷﾛｸﾞﾗﾑ容器</v>
      </c>
      <c r="U10" s="110">
        <v>433</v>
      </c>
      <c r="V10" s="110">
        <v>433</v>
      </c>
      <c r="W10" s="110">
        <v>493</v>
      </c>
      <c r="X10" s="110">
        <v>524</v>
      </c>
    </row>
    <row r="11" spans="2:35">
      <c r="B11" s="110">
        <v>8</v>
      </c>
      <c r="C11" s="110" t="s">
        <v>166</v>
      </c>
      <c r="D11" s="110">
        <v>11.7</v>
      </c>
      <c r="E11" s="108">
        <v>5777000</v>
      </c>
      <c r="F11" s="110">
        <v>0.21</v>
      </c>
      <c r="G11" s="110">
        <v>0.48799999999999999</v>
      </c>
      <c r="I11" s="110">
        <v>8</v>
      </c>
      <c r="J11" s="405" t="s">
        <v>220</v>
      </c>
      <c r="K11" s="110">
        <v>0.46</v>
      </c>
      <c r="L11" s="110" t="s">
        <v>211</v>
      </c>
      <c r="M11" s="405" t="s">
        <v>215</v>
      </c>
      <c r="O11" s="110">
        <v>8</v>
      </c>
      <c r="P11" s="110" t="s">
        <v>266</v>
      </c>
      <c r="Q11" s="110">
        <v>3</v>
      </c>
      <c r="R11" s="110" t="s">
        <v>263</v>
      </c>
      <c r="S11" s="110" t="s">
        <v>328</v>
      </c>
      <c r="T11" s="110" t="str">
        <f t="shared" si="0"/>
        <v>５トン以上７トン未満_貯槽(バルク)</v>
      </c>
      <c r="U11" s="110">
        <v>141</v>
      </c>
      <c r="V11" s="110">
        <v>300</v>
      </c>
      <c r="W11" s="110">
        <v>459</v>
      </c>
      <c r="X11" s="110">
        <v>548</v>
      </c>
    </row>
    <row r="12" spans="2:35">
      <c r="B12" s="110">
        <v>9</v>
      </c>
      <c r="C12" s="110" t="s">
        <v>167</v>
      </c>
      <c r="D12" s="110">
        <v>13.7</v>
      </c>
      <c r="E12" s="108">
        <v>5612000</v>
      </c>
      <c r="F12" s="110">
        <v>0.21</v>
      </c>
      <c r="G12" s="110">
        <v>0.48799999999999999</v>
      </c>
      <c r="I12" s="110">
        <v>9</v>
      </c>
      <c r="J12" s="405" t="s">
        <v>221</v>
      </c>
      <c r="K12" s="110">
        <v>1</v>
      </c>
      <c r="L12" s="110" t="s">
        <v>211</v>
      </c>
      <c r="M12" s="405" t="s">
        <v>215</v>
      </c>
      <c r="O12" s="110">
        <v>9</v>
      </c>
      <c r="P12" s="110" t="s">
        <v>267</v>
      </c>
      <c r="Q12" s="110">
        <v>1</v>
      </c>
      <c r="R12" s="110" t="s">
        <v>262</v>
      </c>
      <c r="S12" s="110" t="s">
        <v>329</v>
      </c>
      <c r="T12" s="110" t="str">
        <f t="shared" si="0"/>
        <v>７トン以上９トン未満_50ｷﾛｸﾞﾗﾑ容器</v>
      </c>
      <c r="U12" s="110">
        <v>195</v>
      </c>
      <c r="V12" s="110">
        <v>336</v>
      </c>
      <c r="W12" s="110">
        <v>476</v>
      </c>
      <c r="X12" s="110">
        <v>501</v>
      </c>
    </row>
    <row r="13" spans="2:35">
      <c r="B13" s="110">
        <v>10</v>
      </c>
      <c r="C13" s="110" t="s">
        <v>168</v>
      </c>
      <c r="D13" s="110">
        <v>11.1</v>
      </c>
      <c r="E13" s="108">
        <v>5838000</v>
      </c>
      <c r="F13" s="110">
        <v>0.21</v>
      </c>
      <c r="G13" s="110">
        <v>0.48799999999999999</v>
      </c>
      <c r="I13" s="110">
        <v>10</v>
      </c>
      <c r="J13" s="405" t="s">
        <v>222</v>
      </c>
      <c r="K13" s="110">
        <v>8.9999999999999993E-3</v>
      </c>
      <c r="L13" s="110" t="s">
        <v>211</v>
      </c>
      <c r="M13" s="405" t="s">
        <v>218</v>
      </c>
      <c r="O13" s="110">
        <v>10</v>
      </c>
      <c r="P13" s="110" t="s">
        <v>267</v>
      </c>
      <c r="Q13" s="110">
        <v>2</v>
      </c>
      <c r="R13" s="110" t="s">
        <v>265</v>
      </c>
      <c r="S13" s="110" t="s">
        <v>330</v>
      </c>
      <c r="T13" s="110" t="str">
        <f t="shared" si="0"/>
        <v>７トン以上９トン未満_500ｷﾛｸﾞﾗﾑ容器</v>
      </c>
      <c r="U13" s="110">
        <v>440</v>
      </c>
      <c r="V13" s="110">
        <v>440</v>
      </c>
      <c r="W13" s="110">
        <v>500</v>
      </c>
      <c r="X13" s="110">
        <v>531</v>
      </c>
    </row>
    <row r="14" spans="2:35">
      <c r="B14" s="110">
        <v>11</v>
      </c>
      <c r="C14" s="110" t="s">
        <v>169</v>
      </c>
      <c r="D14" s="110">
        <v>12.5</v>
      </c>
      <c r="E14" s="108">
        <v>6254000</v>
      </c>
      <c r="F14" s="110">
        <v>0.21</v>
      </c>
      <c r="G14" s="110">
        <v>0.48799999999999999</v>
      </c>
      <c r="I14" s="110">
        <v>11</v>
      </c>
      <c r="J14" s="405" t="s">
        <v>223</v>
      </c>
      <c r="K14" s="110">
        <v>0.15</v>
      </c>
      <c r="L14" s="110" t="s">
        <v>211</v>
      </c>
      <c r="M14" s="405" t="s">
        <v>218</v>
      </c>
      <c r="O14" s="110">
        <v>11</v>
      </c>
      <c r="P14" s="110" t="s">
        <v>267</v>
      </c>
      <c r="Q14" s="110">
        <v>3</v>
      </c>
      <c r="R14" s="110" t="s">
        <v>263</v>
      </c>
      <c r="S14" s="110" t="s">
        <v>331</v>
      </c>
      <c r="T14" s="110" t="str">
        <f t="shared" si="0"/>
        <v>７トン以上９トン未満_貯槽(バルク)</v>
      </c>
      <c r="U14" s="110">
        <v>152</v>
      </c>
      <c r="V14" s="110">
        <v>313</v>
      </c>
      <c r="W14" s="110">
        <v>474</v>
      </c>
      <c r="X14" s="110">
        <v>565</v>
      </c>
    </row>
    <row r="15" spans="2:35">
      <c r="B15" s="110">
        <v>12</v>
      </c>
      <c r="C15" s="110" t="s">
        <v>170</v>
      </c>
      <c r="D15" s="110">
        <v>12.5</v>
      </c>
      <c r="E15" s="108">
        <v>6217000</v>
      </c>
      <c r="F15" s="110">
        <v>0.21</v>
      </c>
      <c r="G15" s="110">
        <v>0.48799999999999999</v>
      </c>
      <c r="I15" s="110">
        <v>12</v>
      </c>
      <c r="J15" s="405" t="s">
        <v>224</v>
      </c>
      <c r="K15" s="110">
        <v>0.35</v>
      </c>
      <c r="L15" s="110" t="s">
        <v>211</v>
      </c>
      <c r="M15" s="405" t="s">
        <v>218</v>
      </c>
      <c r="O15" s="110">
        <v>12</v>
      </c>
      <c r="P15" s="110" t="s">
        <v>268</v>
      </c>
      <c r="Q15" s="110">
        <v>2</v>
      </c>
      <c r="R15" s="110" t="s">
        <v>265</v>
      </c>
      <c r="S15" s="110" t="s">
        <v>332</v>
      </c>
      <c r="T15" s="110" t="str">
        <f t="shared" si="0"/>
        <v>９トン以上１０トン未満_500ｷﾛｸﾞﾗﾑ容器</v>
      </c>
      <c r="U15" s="110">
        <v>481</v>
      </c>
      <c r="V15" s="110">
        <v>481</v>
      </c>
      <c r="W15" s="110">
        <v>540</v>
      </c>
      <c r="X15" s="110">
        <v>574</v>
      </c>
    </row>
    <row r="16" spans="2:35">
      <c r="B16" s="110">
        <v>13</v>
      </c>
      <c r="C16" s="110" t="s">
        <v>171</v>
      </c>
      <c r="D16" s="110">
        <v>12.9</v>
      </c>
      <c r="E16" s="108">
        <v>7104000</v>
      </c>
      <c r="F16" s="110">
        <v>0.21</v>
      </c>
      <c r="G16" s="110">
        <v>0.48799999999999999</v>
      </c>
      <c r="I16" s="110">
        <v>13</v>
      </c>
      <c r="J16" s="405" t="s">
        <v>82</v>
      </c>
      <c r="K16" s="110">
        <v>0.17299999999999999</v>
      </c>
      <c r="L16" s="110" t="s">
        <v>211</v>
      </c>
      <c r="M16" s="405" t="s">
        <v>218</v>
      </c>
      <c r="O16" s="110">
        <v>13</v>
      </c>
      <c r="P16" s="110" t="s">
        <v>268</v>
      </c>
      <c r="Q16" s="110">
        <v>3</v>
      </c>
      <c r="R16" s="110" t="s">
        <v>263</v>
      </c>
      <c r="S16" s="110" t="s">
        <v>333</v>
      </c>
      <c r="T16" s="110" t="str">
        <f t="shared" si="0"/>
        <v>９トン以上１０トン未満_貯槽(バルク)</v>
      </c>
      <c r="U16" s="110">
        <v>155</v>
      </c>
      <c r="V16" s="110">
        <v>319</v>
      </c>
      <c r="W16" s="110">
        <v>483</v>
      </c>
      <c r="X16" s="110">
        <v>573</v>
      </c>
    </row>
    <row r="17" spans="2:24">
      <c r="B17" s="110">
        <v>14</v>
      </c>
      <c r="C17" s="110" t="s">
        <v>172</v>
      </c>
      <c r="D17" s="110">
        <v>11.3</v>
      </c>
      <c r="E17" s="108">
        <v>6589000</v>
      </c>
      <c r="F17" s="110">
        <v>0.21</v>
      </c>
      <c r="G17" s="110">
        <v>0.48799999999999999</v>
      </c>
      <c r="I17" s="110">
        <v>14</v>
      </c>
      <c r="J17" s="405" t="s">
        <v>225</v>
      </c>
      <c r="K17" s="110">
        <v>0.03</v>
      </c>
      <c r="L17" s="110" t="s">
        <v>211</v>
      </c>
      <c r="M17" s="405" t="s">
        <v>226</v>
      </c>
      <c r="O17" s="110">
        <v>14</v>
      </c>
      <c r="P17" s="110" t="s">
        <v>269</v>
      </c>
      <c r="Q17" s="110">
        <v>3</v>
      </c>
      <c r="R17" s="110" t="s">
        <v>263</v>
      </c>
      <c r="S17" s="110" t="s">
        <v>334</v>
      </c>
      <c r="T17" s="110" t="str">
        <f t="shared" si="0"/>
        <v>１０トン以上１５トン未満_貯槽(バルク)</v>
      </c>
      <c r="U17" s="110">
        <v>163</v>
      </c>
      <c r="V17" s="110">
        <v>327</v>
      </c>
      <c r="W17" s="110">
        <v>491</v>
      </c>
      <c r="X17" s="110">
        <v>583</v>
      </c>
    </row>
    <row r="18" spans="2:24">
      <c r="B18" s="110">
        <v>15</v>
      </c>
      <c r="C18" s="110" t="s">
        <v>173</v>
      </c>
      <c r="D18" s="110">
        <v>7.8</v>
      </c>
      <c r="E18" s="108">
        <v>5650000</v>
      </c>
      <c r="F18" s="110">
        <v>0.21</v>
      </c>
      <c r="G18" s="110">
        <v>0.48799999999999999</v>
      </c>
      <c r="I18" s="110">
        <v>15</v>
      </c>
      <c r="J18" s="405" t="s">
        <v>227</v>
      </c>
      <c r="K18" s="110">
        <v>0.1</v>
      </c>
      <c r="L18" s="110" t="s">
        <v>211</v>
      </c>
      <c r="M18" s="405" t="s">
        <v>226</v>
      </c>
      <c r="O18" s="110">
        <v>15</v>
      </c>
      <c r="P18" s="110" t="s">
        <v>270</v>
      </c>
      <c r="Q18" s="110">
        <v>3</v>
      </c>
      <c r="R18" s="110" t="s">
        <v>263</v>
      </c>
      <c r="S18" s="110" t="s">
        <v>335</v>
      </c>
      <c r="T18" s="110" t="str">
        <f t="shared" si="0"/>
        <v>１５トン以上２０トン未満_貯槽(バルク)</v>
      </c>
      <c r="U18" s="110">
        <v>206</v>
      </c>
      <c r="V18" s="110">
        <v>393</v>
      </c>
      <c r="W18" s="110">
        <v>581</v>
      </c>
      <c r="X18" s="110">
        <v>734</v>
      </c>
    </row>
    <row r="19" spans="2:24">
      <c r="B19" s="110">
        <v>16</v>
      </c>
      <c r="C19" s="110" t="s">
        <v>174</v>
      </c>
      <c r="D19" s="110">
        <v>8</v>
      </c>
      <c r="E19" s="108">
        <v>5651000</v>
      </c>
      <c r="F19" s="110">
        <v>0.21</v>
      </c>
      <c r="G19" s="110">
        <v>0.48799999999999999</v>
      </c>
      <c r="I19" s="110">
        <v>16</v>
      </c>
      <c r="J19" s="405" t="s">
        <v>228</v>
      </c>
      <c r="K19" s="110">
        <v>0.1</v>
      </c>
      <c r="L19" s="110" t="s">
        <v>211</v>
      </c>
      <c r="M19" s="405" t="s">
        <v>226</v>
      </c>
      <c r="O19" s="110">
        <v>16</v>
      </c>
      <c r="P19" s="110" t="s">
        <v>271</v>
      </c>
      <c r="Q19" s="110">
        <v>3</v>
      </c>
      <c r="R19" s="110" t="s">
        <v>263</v>
      </c>
      <c r="S19" s="110" t="s">
        <v>336</v>
      </c>
      <c r="T19" s="110" t="str">
        <f t="shared" si="0"/>
        <v>２０トン以上３０トン未満_貯槽(バルク)</v>
      </c>
      <c r="U19" s="110">
        <v>258</v>
      </c>
      <c r="V19" s="110">
        <v>476</v>
      </c>
      <c r="W19" s="110">
        <v>694</v>
      </c>
      <c r="X19" s="110">
        <v>915</v>
      </c>
    </row>
    <row r="20" spans="2:24">
      <c r="B20" s="110">
        <v>17</v>
      </c>
      <c r="C20" s="110" t="s">
        <v>175</v>
      </c>
      <c r="D20" s="110">
        <v>10.1</v>
      </c>
      <c r="E20" s="108">
        <v>6225000</v>
      </c>
      <c r="F20" s="110">
        <v>0.21</v>
      </c>
      <c r="G20" s="110">
        <v>0.48799999999999999</v>
      </c>
      <c r="I20" s="110">
        <v>17</v>
      </c>
      <c r="J20" s="405" t="s">
        <v>229</v>
      </c>
      <c r="K20" s="110">
        <v>0.1</v>
      </c>
      <c r="L20" s="110" t="s">
        <v>211</v>
      </c>
      <c r="M20" s="405" t="s">
        <v>226</v>
      </c>
      <c r="O20" s="110">
        <v>17</v>
      </c>
      <c r="P20" s="110" t="s">
        <v>272</v>
      </c>
      <c r="Q20" s="110">
        <v>3</v>
      </c>
      <c r="R20" s="110" t="s">
        <v>263</v>
      </c>
      <c r="S20" s="110" t="s">
        <v>337</v>
      </c>
      <c r="T20" s="110" t="str">
        <f t="shared" si="0"/>
        <v>３０トン_貯槽(バルク)</v>
      </c>
      <c r="U20" s="110">
        <v>387</v>
      </c>
      <c r="V20" s="110">
        <v>674</v>
      </c>
      <c r="W20" s="110">
        <v>961</v>
      </c>
      <c r="X20" s="110">
        <v>1336</v>
      </c>
    </row>
    <row r="21" spans="2:24">
      <c r="B21" s="110">
        <v>18</v>
      </c>
      <c r="C21" s="110" t="s">
        <v>176</v>
      </c>
      <c r="D21" s="110">
        <v>9.1999999999999993</v>
      </c>
      <c r="E21" s="108">
        <v>5806000</v>
      </c>
      <c r="F21" s="110">
        <v>0.21</v>
      </c>
      <c r="G21" s="110">
        <v>0.48799999999999999</v>
      </c>
      <c r="I21" s="110">
        <v>18</v>
      </c>
      <c r="J21" s="405" t="s">
        <v>230</v>
      </c>
      <c r="K21" s="110">
        <v>0.1</v>
      </c>
      <c r="L21" s="110" t="s">
        <v>211</v>
      </c>
      <c r="M21" s="405" t="s">
        <v>226</v>
      </c>
    </row>
    <row r="22" spans="2:24">
      <c r="B22" s="110">
        <v>19</v>
      </c>
      <c r="C22" s="110" t="s">
        <v>177</v>
      </c>
      <c r="D22" s="110">
        <v>9.5</v>
      </c>
      <c r="E22" s="108">
        <v>5979000</v>
      </c>
      <c r="F22" s="110">
        <v>0.21</v>
      </c>
      <c r="G22" s="110">
        <v>0.48799999999999999</v>
      </c>
      <c r="I22" s="110">
        <v>19</v>
      </c>
      <c r="J22" s="405" t="s">
        <v>231</v>
      </c>
      <c r="K22" s="110">
        <v>0.16700000000000001</v>
      </c>
      <c r="L22" s="110" t="s">
        <v>211</v>
      </c>
      <c r="M22" s="405" t="s">
        <v>226</v>
      </c>
    </row>
    <row r="23" spans="2:24">
      <c r="B23" s="110">
        <v>20</v>
      </c>
      <c r="C23" s="110" t="s">
        <v>178</v>
      </c>
      <c r="D23" s="110">
        <v>13.3</v>
      </c>
      <c r="E23" s="108">
        <v>5810000</v>
      </c>
      <c r="F23" s="110">
        <v>0.21</v>
      </c>
      <c r="G23" s="110">
        <v>0.48799999999999999</v>
      </c>
      <c r="I23" s="110">
        <v>20</v>
      </c>
      <c r="J23" s="405" t="s">
        <v>232</v>
      </c>
      <c r="K23" s="110">
        <v>0.16700000000000001</v>
      </c>
      <c r="L23" s="110" t="s">
        <v>211</v>
      </c>
      <c r="M23" s="405" t="s">
        <v>226</v>
      </c>
    </row>
    <row r="24" spans="2:24">
      <c r="B24" s="110">
        <v>21</v>
      </c>
      <c r="C24" s="110" t="s">
        <v>179</v>
      </c>
      <c r="D24" s="110">
        <v>12.3</v>
      </c>
      <c r="E24" s="108">
        <v>5887000</v>
      </c>
      <c r="F24" s="110">
        <v>0.21</v>
      </c>
      <c r="G24" s="110">
        <v>0.48799999999999999</v>
      </c>
      <c r="I24" s="110">
        <v>21</v>
      </c>
      <c r="J24" s="405" t="s">
        <v>233</v>
      </c>
      <c r="K24" s="110">
        <v>7.6999999999999999E-2</v>
      </c>
      <c r="L24" s="110" t="s">
        <v>211</v>
      </c>
      <c r="M24" s="405" t="s">
        <v>226</v>
      </c>
    </row>
    <row r="25" spans="2:24">
      <c r="B25" s="110">
        <v>22</v>
      </c>
      <c r="C25" s="110" t="s">
        <v>180</v>
      </c>
      <c r="D25" s="110">
        <v>10.8</v>
      </c>
      <c r="E25" s="108">
        <v>5706000</v>
      </c>
      <c r="F25" s="110">
        <v>0.21</v>
      </c>
      <c r="G25" s="110">
        <v>0.48799999999999999</v>
      </c>
      <c r="I25" s="110">
        <v>22</v>
      </c>
      <c r="J25" s="405" t="s">
        <v>234</v>
      </c>
      <c r="K25" s="110">
        <v>7.6999999999999999E-2</v>
      </c>
      <c r="L25" s="110" t="s">
        <v>211</v>
      </c>
      <c r="M25" s="405" t="s">
        <v>226</v>
      </c>
    </row>
    <row r="26" spans="2:24">
      <c r="B26" s="110">
        <v>23</v>
      </c>
      <c r="C26" s="110" t="s">
        <v>181</v>
      </c>
      <c r="D26" s="110">
        <v>11</v>
      </c>
      <c r="E26" s="108">
        <v>6250000</v>
      </c>
      <c r="F26" s="110">
        <v>0.21</v>
      </c>
      <c r="G26" s="110">
        <v>0.48799999999999999</v>
      </c>
      <c r="I26" s="110">
        <v>23</v>
      </c>
      <c r="J26" s="405" t="s">
        <v>235</v>
      </c>
      <c r="K26" s="110">
        <v>7.6999999999999999E-2</v>
      </c>
      <c r="L26" s="110" t="s">
        <v>211</v>
      </c>
      <c r="M26" s="405" t="s">
        <v>226</v>
      </c>
    </row>
    <row r="27" spans="2:24">
      <c r="B27" s="110">
        <v>24</v>
      </c>
      <c r="C27" s="110" t="s">
        <v>182</v>
      </c>
      <c r="D27" s="110">
        <v>12.7</v>
      </c>
      <c r="E27" s="108">
        <v>6045000</v>
      </c>
      <c r="F27" s="110">
        <v>0.21</v>
      </c>
      <c r="G27" s="110">
        <v>0.48799999999999999</v>
      </c>
      <c r="I27" s="110">
        <v>24</v>
      </c>
      <c r="J27" s="405" t="s">
        <v>236</v>
      </c>
      <c r="K27" s="110">
        <v>7.6999999999999999E-2</v>
      </c>
      <c r="L27" s="110" t="s">
        <v>211</v>
      </c>
      <c r="M27" s="405" t="s">
        <v>226</v>
      </c>
    </row>
    <row r="28" spans="2:24">
      <c r="B28" s="110">
        <v>25</v>
      </c>
      <c r="C28" s="110" t="s">
        <v>183</v>
      </c>
      <c r="D28" s="110">
        <v>10.8</v>
      </c>
      <c r="E28" s="108">
        <v>5896000</v>
      </c>
      <c r="F28" s="110">
        <v>0.21</v>
      </c>
      <c r="G28" s="110">
        <v>0.48799999999999999</v>
      </c>
      <c r="I28" s="110">
        <v>25</v>
      </c>
      <c r="J28" s="405" t="s">
        <v>237</v>
      </c>
      <c r="K28" s="110">
        <v>7.6999999999999999E-2</v>
      </c>
      <c r="L28" s="110" t="s">
        <v>211</v>
      </c>
      <c r="M28" s="405" t="s">
        <v>226</v>
      </c>
    </row>
    <row r="29" spans="2:24">
      <c r="B29" s="110">
        <v>26</v>
      </c>
      <c r="C29" s="110" t="s">
        <v>184</v>
      </c>
      <c r="D29" s="110">
        <v>11</v>
      </c>
      <c r="E29" s="108">
        <v>6175000</v>
      </c>
      <c r="F29" s="110">
        <v>0.21</v>
      </c>
      <c r="G29" s="110">
        <v>0.48799999999999999</v>
      </c>
      <c r="I29" s="110">
        <v>26</v>
      </c>
      <c r="J29" s="405" t="s">
        <v>238</v>
      </c>
      <c r="K29" s="110">
        <v>0.2</v>
      </c>
      <c r="L29" s="110" t="s">
        <v>211</v>
      </c>
      <c r="M29" s="405" t="s">
        <v>226</v>
      </c>
    </row>
    <row r="30" spans="2:24">
      <c r="B30" s="110">
        <v>27</v>
      </c>
      <c r="C30" s="110" t="s">
        <v>185</v>
      </c>
      <c r="D30" s="110">
        <v>11.4</v>
      </c>
      <c r="E30" s="108">
        <v>6439000</v>
      </c>
      <c r="F30" s="110">
        <v>0.21</v>
      </c>
      <c r="G30" s="110">
        <v>0.48799999999999999</v>
      </c>
      <c r="I30" s="110">
        <v>27</v>
      </c>
      <c r="J30" s="405" t="s">
        <v>468</v>
      </c>
      <c r="K30" s="110">
        <v>0.2</v>
      </c>
      <c r="L30" s="110" t="s">
        <v>211</v>
      </c>
      <c r="M30" s="405" t="s">
        <v>239</v>
      </c>
    </row>
    <row r="31" spans="2:24">
      <c r="B31" s="110">
        <v>28</v>
      </c>
      <c r="C31" s="110" t="s">
        <v>186</v>
      </c>
      <c r="D31" s="110">
        <v>9.8000000000000007</v>
      </c>
      <c r="E31" s="108">
        <v>6291000</v>
      </c>
      <c r="F31" s="110">
        <v>0.21</v>
      </c>
      <c r="G31" s="110">
        <v>0.48799999999999999</v>
      </c>
      <c r="I31" s="110">
        <v>28</v>
      </c>
      <c r="J31" s="405" t="s">
        <v>240</v>
      </c>
      <c r="K31" s="110">
        <v>0.01</v>
      </c>
      <c r="L31" s="110" t="s">
        <v>211</v>
      </c>
      <c r="M31" s="405" t="s">
        <v>218</v>
      </c>
    </row>
    <row r="32" spans="2:24">
      <c r="B32" s="110">
        <v>29</v>
      </c>
      <c r="C32" s="110" t="s">
        <v>187</v>
      </c>
      <c r="D32" s="110">
        <v>10.8</v>
      </c>
      <c r="E32" s="108">
        <v>5836000</v>
      </c>
      <c r="F32" s="110">
        <v>0.21</v>
      </c>
      <c r="G32" s="110">
        <v>0.48799999999999999</v>
      </c>
      <c r="I32" s="110">
        <v>29</v>
      </c>
      <c r="J32" s="405" t="s">
        <v>241</v>
      </c>
      <c r="K32" s="110">
        <v>0.06</v>
      </c>
      <c r="L32" s="110" t="s">
        <v>211</v>
      </c>
      <c r="M32" s="405" t="s">
        <v>218</v>
      </c>
    </row>
    <row r="33" spans="2:13">
      <c r="B33" s="110">
        <v>30</v>
      </c>
      <c r="C33" s="110" t="s">
        <v>188</v>
      </c>
      <c r="D33" s="110">
        <v>9.1999999999999993</v>
      </c>
      <c r="E33" s="108">
        <v>5570000</v>
      </c>
      <c r="F33" s="110">
        <v>0.21</v>
      </c>
      <c r="G33" s="110">
        <v>0.48799999999999999</v>
      </c>
      <c r="I33" s="110">
        <v>30</v>
      </c>
      <c r="J33" s="405" t="s">
        <v>242</v>
      </c>
      <c r="K33" s="110">
        <v>0.1</v>
      </c>
      <c r="L33" s="110" t="s">
        <v>211</v>
      </c>
      <c r="M33" s="405" t="s">
        <v>226</v>
      </c>
    </row>
    <row r="34" spans="2:13">
      <c r="B34" s="110">
        <v>31</v>
      </c>
      <c r="C34" s="110" t="s">
        <v>189</v>
      </c>
      <c r="D34" s="110">
        <v>9.8000000000000007</v>
      </c>
      <c r="E34" s="108">
        <v>5063000</v>
      </c>
      <c r="F34" s="110">
        <v>0.21</v>
      </c>
      <c r="G34" s="110">
        <v>0.48799999999999999</v>
      </c>
      <c r="I34" s="110">
        <v>31</v>
      </c>
      <c r="J34" s="405" t="s">
        <v>243</v>
      </c>
      <c r="K34" s="110">
        <v>0</v>
      </c>
      <c r="L34" s="110" t="s">
        <v>211</v>
      </c>
      <c r="M34" s="405" t="s">
        <v>218</v>
      </c>
    </row>
    <row r="35" spans="2:13">
      <c r="B35" s="110">
        <v>32</v>
      </c>
      <c r="C35" s="110" t="s">
        <v>190</v>
      </c>
      <c r="D35" s="110">
        <v>9.9</v>
      </c>
      <c r="E35" s="108">
        <v>5280000</v>
      </c>
      <c r="F35" s="110">
        <v>0.21</v>
      </c>
      <c r="G35" s="110">
        <v>0.48799999999999999</v>
      </c>
      <c r="I35" s="110">
        <v>32</v>
      </c>
      <c r="J35" s="405" t="s">
        <v>244</v>
      </c>
      <c r="K35" s="110">
        <v>0.10299999999999999</v>
      </c>
      <c r="L35" s="110" t="s">
        <v>211</v>
      </c>
      <c r="M35" s="405" t="s">
        <v>218</v>
      </c>
    </row>
    <row r="36" spans="2:13">
      <c r="B36" s="110">
        <v>33</v>
      </c>
      <c r="C36" s="110" t="s">
        <v>191</v>
      </c>
      <c r="D36" s="110">
        <v>9.1</v>
      </c>
      <c r="E36" s="108">
        <v>5709000</v>
      </c>
      <c r="F36" s="110">
        <v>0.21</v>
      </c>
      <c r="G36" s="110">
        <v>0.48799999999999999</v>
      </c>
    </row>
    <row r="37" spans="2:13">
      <c r="B37" s="110">
        <v>34</v>
      </c>
      <c r="C37" s="110" t="s">
        <v>192</v>
      </c>
      <c r="D37" s="110">
        <v>11.3</v>
      </c>
      <c r="E37" s="108">
        <v>5786000</v>
      </c>
      <c r="F37" s="110">
        <v>0.21</v>
      </c>
      <c r="G37" s="110">
        <v>0.48799999999999999</v>
      </c>
    </row>
    <row r="38" spans="2:13">
      <c r="B38" s="110">
        <v>35</v>
      </c>
      <c r="C38" s="110" t="s">
        <v>193</v>
      </c>
      <c r="D38" s="110">
        <v>9.3000000000000007</v>
      </c>
      <c r="E38" s="108">
        <v>5570000</v>
      </c>
      <c r="F38" s="110">
        <v>0.21</v>
      </c>
      <c r="G38" s="110">
        <v>0.48799999999999999</v>
      </c>
    </row>
    <row r="39" spans="2:13">
      <c r="B39" s="110">
        <v>36</v>
      </c>
      <c r="C39" s="110" t="s">
        <v>194</v>
      </c>
      <c r="D39" s="110">
        <v>8.6999999999999993</v>
      </c>
      <c r="E39" s="108">
        <v>5396000</v>
      </c>
      <c r="F39" s="110">
        <v>0.21</v>
      </c>
      <c r="G39" s="110">
        <v>0.48799999999999999</v>
      </c>
    </row>
    <row r="40" spans="2:13">
      <c r="B40" s="110">
        <v>37</v>
      </c>
      <c r="C40" s="110" t="s">
        <v>195</v>
      </c>
      <c r="D40" s="110">
        <v>7.9</v>
      </c>
      <c r="E40" s="108">
        <v>5696000</v>
      </c>
      <c r="F40" s="110">
        <v>0.21</v>
      </c>
      <c r="G40" s="110">
        <v>0.48799999999999999</v>
      </c>
    </row>
    <row r="41" spans="2:13">
      <c r="B41" s="110">
        <v>38</v>
      </c>
      <c r="C41" s="110" t="s">
        <v>196</v>
      </c>
      <c r="D41" s="110">
        <v>8.5</v>
      </c>
      <c r="E41" s="108">
        <v>5474000</v>
      </c>
      <c r="F41" s="110">
        <v>0.21</v>
      </c>
      <c r="G41" s="110">
        <v>0.48799999999999999</v>
      </c>
    </row>
    <row r="42" spans="2:13">
      <c r="B42" s="110">
        <v>39</v>
      </c>
      <c r="C42" s="110" t="s">
        <v>197</v>
      </c>
      <c r="D42" s="110">
        <v>10.6</v>
      </c>
      <c r="E42" s="108">
        <v>5306000</v>
      </c>
      <c r="F42" s="110">
        <v>0.21</v>
      </c>
      <c r="G42" s="110">
        <v>0.48799999999999999</v>
      </c>
    </row>
    <row r="43" spans="2:13">
      <c r="B43" s="110">
        <v>40</v>
      </c>
      <c r="C43" s="110" t="s">
        <v>198</v>
      </c>
      <c r="D43" s="110">
        <v>9.4</v>
      </c>
      <c r="E43" s="108">
        <v>5715000</v>
      </c>
      <c r="F43" s="110">
        <v>0.21</v>
      </c>
      <c r="G43" s="110">
        <v>0.48799999999999999</v>
      </c>
    </row>
    <row r="44" spans="2:13">
      <c r="B44" s="110">
        <v>41</v>
      </c>
      <c r="C44" s="110" t="s">
        <v>199</v>
      </c>
      <c r="D44" s="110">
        <v>8.6999999999999993</v>
      </c>
      <c r="E44" s="108">
        <v>5275000</v>
      </c>
      <c r="F44" s="110">
        <v>0.21</v>
      </c>
      <c r="G44" s="110">
        <v>0.48799999999999999</v>
      </c>
    </row>
    <row r="45" spans="2:13">
      <c r="B45" s="110">
        <v>42</v>
      </c>
      <c r="C45" s="110" t="s">
        <v>200</v>
      </c>
      <c r="D45" s="110">
        <v>9.6</v>
      </c>
      <c r="E45" s="108">
        <v>5208000</v>
      </c>
      <c r="F45" s="110">
        <v>0.21</v>
      </c>
      <c r="G45" s="110">
        <v>0.48799999999999999</v>
      </c>
    </row>
    <row r="46" spans="2:13">
      <c r="B46" s="110">
        <v>43</v>
      </c>
      <c r="C46" s="110" t="s">
        <v>201</v>
      </c>
      <c r="D46" s="110">
        <v>8.4</v>
      </c>
      <c r="E46" s="108">
        <v>5317000</v>
      </c>
      <c r="F46" s="110">
        <v>0.21</v>
      </c>
      <c r="G46" s="110">
        <v>0.48799999999999999</v>
      </c>
    </row>
    <row r="47" spans="2:13">
      <c r="B47" s="110">
        <v>44</v>
      </c>
      <c r="C47" s="110" t="s">
        <v>202</v>
      </c>
      <c r="D47" s="110">
        <v>8.1</v>
      </c>
      <c r="E47" s="108">
        <v>5300000</v>
      </c>
      <c r="F47" s="110">
        <v>0.21</v>
      </c>
      <c r="G47" s="110">
        <v>0.48799999999999999</v>
      </c>
    </row>
    <row r="48" spans="2:13">
      <c r="B48" s="110">
        <v>45</v>
      </c>
      <c r="C48" s="110" t="s">
        <v>203</v>
      </c>
      <c r="D48" s="110">
        <v>8.9</v>
      </c>
      <c r="E48" s="108">
        <v>5266000</v>
      </c>
      <c r="F48" s="110">
        <v>0.21</v>
      </c>
      <c r="G48" s="110">
        <v>0.48799999999999999</v>
      </c>
    </row>
    <row r="49" spans="2:7">
      <c r="B49" s="110">
        <v>46</v>
      </c>
      <c r="C49" s="110" t="s">
        <v>204</v>
      </c>
      <c r="D49" s="110">
        <v>9.6999999999999993</v>
      </c>
      <c r="E49" s="108">
        <v>5389000</v>
      </c>
      <c r="F49" s="110">
        <v>0.21</v>
      </c>
      <c r="G49" s="110">
        <v>0.48799999999999999</v>
      </c>
    </row>
    <row r="50" spans="2:7">
      <c r="B50" s="110">
        <v>47</v>
      </c>
      <c r="C50" s="110" t="s">
        <v>205</v>
      </c>
      <c r="D50" s="110">
        <v>6.4</v>
      </c>
      <c r="E50" s="108">
        <v>5203000</v>
      </c>
      <c r="F50" s="110">
        <v>0.20200000000000001</v>
      </c>
      <c r="G50" s="110">
        <v>0.50700000000000001</v>
      </c>
    </row>
  </sheetData>
  <phoneticPr fontId="2"/>
  <pageMargins left="0.70866141732283472" right="0.70866141732283472" top="0.74803149606299213" bottom="0.74803149606299213" header="0.31496062992125984" footer="0.31496062992125984"/>
  <pageSetup paperSize="9" scale="42" fitToWidth="2" orientation="landscape" horizontalDpi="0" verticalDpi="0"/>
  <colBreaks count="1" manualBreakCount="1">
    <brk id="14" max="50" man="1"/>
  </col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2C0D0-0AF2-9642-B3C6-CEE95076D224}">
  <sheetPr codeName="Sheet11">
    <tabColor theme="9"/>
    <pageSetUpPr fitToPage="1"/>
  </sheetPr>
  <dimension ref="B1:I145"/>
  <sheetViews>
    <sheetView showGridLines="0" zoomScaleNormal="100" workbookViewId="0">
      <pane ySplit="3" topLeftCell="A4" activePane="bottomLeft" state="frozen"/>
      <selection activeCell="N8" sqref="N8"/>
      <selection pane="bottomLeft"/>
    </sheetView>
  </sheetViews>
  <sheetFormatPr baseColWidth="10" defaultColWidth="10.7109375" defaultRowHeight="15"/>
  <cols>
    <col min="1" max="1" width="5" style="97" customWidth="1"/>
    <col min="2" max="2" width="8.42578125" style="97" customWidth="1"/>
    <col min="3" max="3" width="10.7109375" style="97"/>
    <col min="4" max="4" width="6.28515625" style="97" customWidth="1"/>
    <col min="5" max="5" width="12.28515625" style="97" customWidth="1"/>
    <col min="6" max="9" width="12.28515625" style="101" customWidth="1"/>
    <col min="10" max="10" width="5" style="97" customWidth="1"/>
    <col min="11" max="16384" width="10.7109375" style="97"/>
  </cols>
  <sheetData>
    <row r="1" spans="2:9" ht="25" customHeight="1"/>
    <row r="2" spans="2:9" ht="25" customHeight="1">
      <c r="B2" s="97" t="s">
        <v>534</v>
      </c>
    </row>
    <row r="3" spans="2:9" ht="30">
      <c r="B3" s="412" t="s">
        <v>307</v>
      </c>
      <c r="C3" s="412" t="s">
        <v>297</v>
      </c>
      <c r="D3" s="412" t="s">
        <v>659</v>
      </c>
      <c r="E3" s="412" t="s">
        <v>298</v>
      </c>
      <c r="F3" s="413" t="s">
        <v>299</v>
      </c>
      <c r="G3" s="413" t="s">
        <v>300</v>
      </c>
      <c r="H3" s="413" t="s">
        <v>301</v>
      </c>
      <c r="I3" s="413" t="s">
        <v>302</v>
      </c>
    </row>
    <row r="4" spans="2:9">
      <c r="B4" s="110">
        <v>1</v>
      </c>
      <c r="C4" s="110" t="s">
        <v>159</v>
      </c>
      <c r="D4" s="110">
        <v>1</v>
      </c>
      <c r="E4" s="110" t="s">
        <v>303</v>
      </c>
      <c r="F4" s="111">
        <v>0.85</v>
      </c>
      <c r="G4" s="111">
        <v>0.34</v>
      </c>
      <c r="H4" s="111">
        <v>0.24</v>
      </c>
      <c r="I4" s="111">
        <v>0.84</v>
      </c>
    </row>
    <row r="5" spans="2:9">
      <c r="B5" s="110">
        <v>1</v>
      </c>
      <c r="C5" s="110" t="s">
        <v>159</v>
      </c>
      <c r="D5" s="110">
        <v>2</v>
      </c>
      <c r="E5" s="110" t="s">
        <v>304</v>
      </c>
      <c r="F5" s="111">
        <v>0.13</v>
      </c>
      <c r="G5" s="111">
        <v>0.28999999999999998</v>
      </c>
      <c r="H5" s="111">
        <v>0.23</v>
      </c>
      <c r="I5" s="111">
        <v>0.12</v>
      </c>
    </row>
    <row r="6" spans="2:9">
      <c r="B6" s="110">
        <v>1</v>
      </c>
      <c r="C6" s="110" t="s">
        <v>159</v>
      </c>
      <c r="D6" s="110">
        <v>3</v>
      </c>
      <c r="E6" s="110" t="s">
        <v>305</v>
      </c>
      <c r="F6" s="111">
        <v>0.02</v>
      </c>
      <c r="G6" s="111">
        <v>0.37</v>
      </c>
      <c r="H6" s="111">
        <v>0.53</v>
      </c>
      <c r="I6" s="111">
        <v>0.04</v>
      </c>
    </row>
    <row r="7" spans="2:9">
      <c r="B7" s="110">
        <v>2</v>
      </c>
      <c r="C7" s="110" t="s">
        <v>160</v>
      </c>
      <c r="D7" s="110">
        <v>1</v>
      </c>
      <c r="E7" s="110" t="s">
        <v>303</v>
      </c>
      <c r="F7" s="111">
        <v>0.6</v>
      </c>
      <c r="G7" s="111">
        <v>0.17</v>
      </c>
      <c r="H7" s="111">
        <v>0.11</v>
      </c>
      <c r="I7" s="111">
        <v>0.59</v>
      </c>
    </row>
    <row r="8" spans="2:9">
      <c r="B8" s="110">
        <v>2</v>
      </c>
      <c r="C8" s="110" t="s">
        <v>160</v>
      </c>
      <c r="D8" s="110">
        <v>2</v>
      </c>
      <c r="E8" s="110" t="s">
        <v>304</v>
      </c>
      <c r="F8" s="111">
        <v>0.37</v>
      </c>
      <c r="G8" s="111">
        <v>0.52</v>
      </c>
      <c r="H8" s="111">
        <v>0.5</v>
      </c>
      <c r="I8" s="111">
        <v>0.37</v>
      </c>
    </row>
    <row r="9" spans="2:9">
      <c r="B9" s="110">
        <v>2</v>
      </c>
      <c r="C9" s="110" t="s">
        <v>160</v>
      </c>
      <c r="D9" s="110">
        <v>3</v>
      </c>
      <c r="E9" s="110" t="s">
        <v>305</v>
      </c>
      <c r="F9" s="111">
        <v>0.03</v>
      </c>
      <c r="G9" s="111">
        <v>0.31</v>
      </c>
      <c r="H9" s="111">
        <v>0.39</v>
      </c>
      <c r="I9" s="111">
        <v>0.04</v>
      </c>
    </row>
    <row r="10" spans="2:9">
      <c r="B10" s="110">
        <v>3</v>
      </c>
      <c r="C10" s="110" t="s">
        <v>161</v>
      </c>
      <c r="D10" s="110">
        <v>1</v>
      </c>
      <c r="E10" s="110" t="s">
        <v>303</v>
      </c>
      <c r="F10" s="111">
        <v>0.48</v>
      </c>
      <c r="G10" s="111">
        <v>0.13</v>
      </c>
      <c r="H10" s="111">
        <v>0.09</v>
      </c>
      <c r="I10" s="111">
        <v>0.48</v>
      </c>
    </row>
    <row r="11" spans="2:9">
      <c r="B11" s="110">
        <v>3</v>
      </c>
      <c r="C11" s="110" t="s">
        <v>161</v>
      </c>
      <c r="D11" s="110">
        <v>2</v>
      </c>
      <c r="E11" s="110" t="s">
        <v>304</v>
      </c>
      <c r="F11" s="111">
        <v>0.44</v>
      </c>
      <c r="G11" s="111">
        <v>0.62</v>
      </c>
      <c r="H11" s="111">
        <v>0.53</v>
      </c>
      <c r="I11" s="111">
        <v>0.44</v>
      </c>
    </row>
    <row r="12" spans="2:9">
      <c r="B12" s="110">
        <v>3</v>
      </c>
      <c r="C12" s="110" t="s">
        <v>161</v>
      </c>
      <c r="D12" s="110">
        <v>3</v>
      </c>
      <c r="E12" s="110" t="s">
        <v>305</v>
      </c>
      <c r="F12" s="111">
        <v>0.08</v>
      </c>
      <c r="G12" s="111">
        <v>0.25</v>
      </c>
      <c r="H12" s="111">
        <v>0.38</v>
      </c>
      <c r="I12" s="111">
        <v>0.08</v>
      </c>
    </row>
    <row r="13" spans="2:9">
      <c r="B13" s="110">
        <v>4</v>
      </c>
      <c r="C13" s="110" t="s">
        <v>162</v>
      </c>
      <c r="D13" s="110">
        <v>1</v>
      </c>
      <c r="E13" s="110" t="s">
        <v>303</v>
      </c>
      <c r="F13" s="111">
        <v>0.26</v>
      </c>
      <c r="G13" s="111">
        <v>0.03</v>
      </c>
      <c r="H13" s="111">
        <v>0.02</v>
      </c>
      <c r="I13" s="111">
        <v>0.24</v>
      </c>
    </row>
    <row r="14" spans="2:9">
      <c r="B14" s="110">
        <v>4</v>
      </c>
      <c r="C14" s="110" t="s">
        <v>162</v>
      </c>
      <c r="D14" s="110">
        <v>2</v>
      </c>
      <c r="E14" s="110" t="s">
        <v>304</v>
      </c>
      <c r="F14" s="111">
        <v>0.56000000000000005</v>
      </c>
      <c r="G14" s="111">
        <v>0.5</v>
      </c>
      <c r="H14" s="111">
        <v>0.35</v>
      </c>
      <c r="I14" s="111">
        <v>0.54</v>
      </c>
    </row>
    <row r="15" spans="2:9">
      <c r="B15" s="110">
        <v>4</v>
      </c>
      <c r="C15" s="110" t="s">
        <v>162</v>
      </c>
      <c r="D15" s="110">
        <v>3</v>
      </c>
      <c r="E15" s="110" t="s">
        <v>305</v>
      </c>
      <c r="F15" s="111">
        <v>0.18</v>
      </c>
      <c r="G15" s="111">
        <v>0.47</v>
      </c>
      <c r="H15" s="111">
        <v>0.63</v>
      </c>
      <c r="I15" s="111">
        <v>0.22</v>
      </c>
    </row>
    <row r="16" spans="2:9">
      <c r="B16" s="110">
        <v>5</v>
      </c>
      <c r="C16" s="110" t="s">
        <v>163</v>
      </c>
      <c r="D16" s="110">
        <v>1</v>
      </c>
      <c r="E16" s="110" t="s">
        <v>303</v>
      </c>
      <c r="F16" s="111">
        <v>0.64</v>
      </c>
      <c r="G16" s="111">
        <v>0.27</v>
      </c>
      <c r="H16" s="111">
        <v>0.18</v>
      </c>
      <c r="I16" s="111">
        <v>0.64</v>
      </c>
    </row>
    <row r="17" spans="2:9">
      <c r="B17" s="110">
        <v>5</v>
      </c>
      <c r="C17" s="110" t="s">
        <v>163</v>
      </c>
      <c r="D17" s="110">
        <v>2</v>
      </c>
      <c r="E17" s="110" t="s">
        <v>304</v>
      </c>
      <c r="F17" s="111">
        <v>0.34</v>
      </c>
      <c r="G17" s="111">
        <v>0.65</v>
      </c>
      <c r="H17" s="111">
        <v>0.67</v>
      </c>
      <c r="I17" s="111">
        <v>0.34</v>
      </c>
    </row>
    <row r="18" spans="2:9">
      <c r="B18" s="110">
        <v>5</v>
      </c>
      <c r="C18" s="110" t="s">
        <v>163</v>
      </c>
      <c r="D18" s="110">
        <v>3</v>
      </c>
      <c r="E18" s="110" t="s">
        <v>305</v>
      </c>
      <c r="F18" s="111">
        <v>0.02</v>
      </c>
      <c r="G18" s="111">
        <v>0.08</v>
      </c>
      <c r="H18" s="111">
        <v>0.15</v>
      </c>
      <c r="I18" s="111">
        <v>0.02</v>
      </c>
    </row>
    <row r="19" spans="2:9">
      <c r="B19" s="110">
        <v>6</v>
      </c>
      <c r="C19" s="110" t="s">
        <v>164</v>
      </c>
      <c r="D19" s="110">
        <v>1</v>
      </c>
      <c r="E19" s="110" t="s">
        <v>303</v>
      </c>
      <c r="F19" s="111">
        <v>0.53</v>
      </c>
      <c r="G19" s="111">
        <v>0.14000000000000001</v>
      </c>
      <c r="H19" s="111">
        <v>0.1</v>
      </c>
      <c r="I19" s="111">
        <v>0.52</v>
      </c>
    </row>
    <row r="20" spans="2:9">
      <c r="B20" s="110">
        <v>6</v>
      </c>
      <c r="C20" s="110" t="s">
        <v>164</v>
      </c>
      <c r="D20" s="110">
        <v>2</v>
      </c>
      <c r="E20" s="110" t="s">
        <v>304</v>
      </c>
      <c r="F20" s="111">
        <v>0.41</v>
      </c>
      <c r="G20" s="111">
        <v>0.54</v>
      </c>
      <c r="H20" s="111">
        <v>0.49</v>
      </c>
      <c r="I20" s="111">
        <v>0.4</v>
      </c>
    </row>
    <row r="21" spans="2:9">
      <c r="B21" s="110">
        <v>6</v>
      </c>
      <c r="C21" s="110" t="s">
        <v>164</v>
      </c>
      <c r="D21" s="110">
        <v>3</v>
      </c>
      <c r="E21" s="110" t="s">
        <v>305</v>
      </c>
      <c r="F21" s="111">
        <v>0.06</v>
      </c>
      <c r="G21" s="111">
        <v>0.32</v>
      </c>
      <c r="H21" s="111">
        <v>0.41</v>
      </c>
      <c r="I21" s="111">
        <v>0.08</v>
      </c>
    </row>
    <row r="22" spans="2:9">
      <c r="B22" s="110">
        <v>7</v>
      </c>
      <c r="C22" s="110" t="s">
        <v>165</v>
      </c>
      <c r="D22" s="110">
        <v>1</v>
      </c>
      <c r="E22" s="110" t="s">
        <v>303</v>
      </c>
      <c r="F22" s="111">
        <v>0.46</v>
      </c>
      <c r="G22" s="111">
        <v>0.13</v>
      </c>
      <c r="H22" s="111">
        <v>0.08</v>
      </c>
      <c r="I22" s="111">
        <v>0.46</v>
      </c>
    </row>
    <row r="23" spans="2:9">
      <c r="B23" s="110">
        <v>7</v>
      </c>
      <c r="C23" s="110" t="s">
        <v>165</v>
      </c>
      <c r="D23" s="110">
        <v>2</v>
      </c>
      <c r="E23" s="110" t="s">
        <v>304</v>
      </c>
      <c r="F23" s="111">
        <v>0.47</v>
      </c>
      <c r="G23" s="111">
        <v>0.62</v>
      </c>
      <c r="H23" s="111">
        <v>0.53</v>
      </c>
      <c r="I23" s="111">
        <v>0.46</v>
      </c>
    </row>
    <row r="24" spans="2:9">
      <c r="B24" s="110">
        <v>7</v>
      </c>
      <c r="C24" s="110" t="s">
        <v>165</v>
      </c>
      <c r="D24" s="110">
        <v>3</v>
      </c>
      <c r="E24" s="110" t="s">
        <v>305</v>
      </c>
      <c r="F24" s="111">
        <v>7.0000000000000007E-2</v>
      </c>
      <c r="G24" s="111">
        <v>0.25</v>
      </c>
      <c r="H24" s="111">
        <v>0.39</v>
      </c>
      <c r="I24" s="111">
        <v>0.08</v>
      </c>
    </row>
    <row r="25" spans="2:9">
      <c r="B25" s="110">
        <v>8</v>
      </c>
      <c r="C25" s="110" t="s">
        <v>166</v>
      </c>
      <c r="D25" s="110">
        <v>1</v>
      </c>
      <c r="E25" s="110" t="s">
        <v>303</v>
      </c>
      <c r="F25" s="111">
        <v>0.41</v>
      </c>
      <c r="G25" s="111">
        <v>0.12</v>
      </c>
      <c r="H25" s="111">
        <v>0.05</v>
      </c>
      <c r="I25" s="111">
        <v>0.4</v>
      </c>
    </row>
    <row r="26" spans="2:9">
      <c r="B26" s="110">
        <v>8</v>
      </c>
      <c r="C26" s="110" t="s">
        <v>166</v>
      </c>
      <c r="D26" s="110">
        <v>2</v>
      </c>
      <c r="E26" s="110" t="s">
        <v>304</v>
      </c>
      <c r="F26" s="111">
        <v>0.53</v>
      </c>
      <c r="G26" s="111">
        <v>0.65</v>
      </c>
      <c r="H26" s="111">
        <v>0.56999999999999995</v>
      </c>
      <c r="I26" s="111">
        <v>0.53</v>
      </c>
    </row>
    <row r="27" spans="2:9">
      <c r="B27" s="110">
        <v>8</v>
      </c>
      <c r="C27" s="110" t="s">
        <v>166</v>
      </c>
      <c r="D27" s="110">
        <v>3</v>
      </c>
      <c r="E27" s="110" t="s">
        <v>305</v>
      </c>
      <c r="F27" s="111">
        <v>0.06</v>
      </c>
      <c r="G27" s="111">
        <v>0.23</v>
      </c>
      <c r="H27" s="111">
        <v>0.38</v>
      </c>
      <c r="I27" s="111">
        <v>7.0000000000000007E-2</v>
      </c>
    </row>
    <row r="28" spans="2:9">
      <c r="B28" s="110">
        <v>9</v>
      </c>
      <c r="C28" s="110" t="s">
        <v>167</v>
      </c>
      <c r="D28" s="110">
        <v>1</v>
      </c>
      <c r="E28" s="110" t="s">
        <v>303</v>
      </c>
      <c r="F28" s="111">
        <v>0.34</v>
      </c>
      <c r="G28" s="111">
        <v>7.0000000000000007E-2</v>
      </c>
      <c r="H28" s="111">
        <v>0.03</v>
      </c>
      <c r="I28" s="111">
        <v>0.33</v>
      </c>
    </row>
    <row r="29" spans="2:9">
      <c r="B29" s="110">
        <v>9</v>
      </c>
      <c r="C29" s="110" t="s">
        <v>167</v>
      </c>
      <c r="D29" s="110">
        <v>2</v>
      </c>
      <c r="E29" s="110" t="s">
        <v>304</v>
      </c>
      <c r="F29" s="111">
        <v>0.54</v>
      </c>
      <c r="G29" s="111">
        <v>0.6</v>
      </c>
      <c r="H29" s="111">
        <v>0.41</v>
      </c>
      <c r="I29" s="111">
        <v>0.54</v>
      </c>
    </row>
    <row r="30" spans="2:9">
      <c r="B30" s="110">
        <v>9</v>
      </c>
      <c r="C30" s="110" t="s">
        <v>167</v>
      </c>
      <c r="D30" s="110">
        <v>3</v>
      </c>
      <c r="E30" s="110" t="s">
        <v>305</v>
      </c>
      <c r="F30" s="111">
        <v>0.12</v>
      </c>
      <c r="G30" s="111">
        <v>0.33</v>
      </c>
      <c r="H30" s="111">
        <v>0.56000000000000005</v>
      </c>
      <c r="I30" s="111">
        <v>0.13</v>
      </c>
    </row>
    <row r="31" spans="2:9">
      <c r="B31" s="110">
        <v>10</v>
      </c>
      <c r="C31" s="110" t="s">
        <v>168</v>
      </c>
      <c r="D31" s="110">
        <v>1</v>
      </c>
      <c r="E31" s="110" t="s">
        <v>303</v>
      </c>
      <c r="F31" s="111">
        <v>0.56000000000000005</v>
      </c>
      <c r="G31" s="111">
        <v>0.17</v>
      </c>
      <c r="H31" s="111">
        <v>0.11</v>
      </c>
      <c r="I31" s="111">
        <v>0.56000000000000005</v>
      </c>
    </row>
    <row r="32" spans="2:9">
      <c r="B32" s="110">
        <v>10</v>
      </c>
      <c r="C32" s="110" t="s">
        <v>168</v>
      </c>
      <c r="D32" s="110">
        <v>2</v>
      </c>
      <c r="E32" s="110" t="s">
        <v>304</v>
      </c>
      <c r="F32" s="111">
        <v>0.4</v>
      </c>
      <c r="G32" s="111">
        <v>0.64</v>
      </c>
      <c r="H32" s="111">
        <v>0.53</v>
      </c>
      <c r="I32" s="111">
        <v>0.39</v>
      </c>
    </row>
    <row r="33" spans="2:9">
      <c r="B33" s="110">
        <v>10</v>
      </c>
      <c r="C33" s="110" t="s">
        <v>168</v>
      </c>
      <c r="D33" s="110">
        <v>3</v>
      </c>
      <c r="E33" s="110" t="s">
        <v>305</v>
      </c>
      <c r="F33" s="111">
        <v>0.04</v>
      </c>
      <c r="G33" s="111">
        <v>0.19</v>
      </c>
      <c r="H33" s="111">
        <v>0.36</v>
      </c>
      <c r="I33" s="111">
        <v>0.05</v>
      </c>
    </row>
    <row r="34" spans="2:9">
      <c r="B34" s="110">
        <v>11</v>
      </c>
      <c r="C34" s="110" t="s">
        <v>169</v>
      </c>
      <c r="D34" s="110">
        <v>1</v>
      </c>
      <c r="E34" s="110" t="s">
        <v>303</v>
      </c>
      <c r="F34" s="111">
        <v>0.25</v>
      </c>
      <c r="G34" s="111">
        <v>0.06</v>
      </c>
      <c r="H34" s="111">
        <v>0.02</v>
      </c>
      <c r="I34" s="111">
        <v>0.25</v>
      </c>
    </row>
    <row r="35" spans="2:9">
      <c r="B35" s="110">
        <v>11</v>
      </c>
      <c r="C35" s="110" t="s">
        <v>169</v>
      </c>
      <c r="D35" s="110">
        <v>2</v>
      </c>
      <c r="E35" s="110" t="s">
        <v>304</v>
      </c>
      <c r="F35" s="111">
        <v>0.62</v>
      </c>
      <c r="G35" s="111">
        <v>0.61</v>
      </c>
      <c r="H35" s="111">
        <v>0.43</v>
      </c>
      <c r="I35" s="111">
        <v>0.62</v>
      </c>
    </row>
    <row r="36" spans="2:9">
      <c r="B36" s="110">
        <v>11</v>
      </c>
      <c r="C36" s="110" t="s">
        <v>169</v>
      </c>
      <c r="D36" s="110">
        <v>3</v>
      </c>
      <c r="E36" s="110" t="s">
        <v>305</v>
      </c>
      <c r="F36" s="111">
        <v>0.13</v>
      </c>
      <c r="G36" s="111">
        <v>0.33</v>
      </c>
      <c r="H36" s="111">
        <v>0.55000000000000004</v>
      </c>
      <c r="I36" s="111">
        <v>0.13</v>
      </c>
    </row>
    <row r="37" spans="2:9">
      <c r="B37" s="110">
        <v>12</v>
      </c>
      <c r="C37" s="110" t="s">
        <v>170</v>
      </c>
      <c r="D37" s="110">
        <v>1</v>
      </c>
      <c r="E37" s="110" t="s">
        <v>303</v>
      </c>
      <c r="F37" s="111">
        <v>0.28999999999999998</v>
      </c>
      <c r="G37" s="111">
        <v>7.0000000000000007E-2</v>
      </c>
      <c r="H37" s="111">
        <v>0.02</v>
      </c>
      <c r="I37" s="111">
        <v>0.28999999999999998</v>
      </c>
    </row>
    <row r="38" spans="2:9">
      <c r="B38" s="110">
        <v>12</v>
      </c>
      <c r="C38" s="110" t="s">
        <v>170</v>
      </c>
      <c r="D38" s="110">
        <v>2</v>
      </c>
      <c r="E38" s="110" t="s">
        <v>304</v>
      </c>
      <c r="F38" s="111">
        <v>0.57999999999999996</v>
      </c>
      <c r="G38" s="111">
        <v>0.59</v>
      </c>
      <c r="H38" s="111">
        <v>0.39</v>
      </c>
      <c r="I38" s="111">
        <v>0.57999999999999996</v>
      </c>
    </row>
    <row r="39" spans="2:9">
      <c r="B39" s="110">
        <v>12</v>
      </c>
      <c r="C39" s="110" t="s">
        <v>170</v>
      </c>
      <c r="D39" s="110">
        <v>3</v>
      </c>
      <c r="E39" s="110" t="s">
        <v>305</v>
      </c>
      <c r="F39" s="111">
        <v>0.13</v>
      </c>
      <c r="G39" s="111">
        <v>0.34</v>
      </c>
      <c r="H39" s="111">
        <v>0.59</v>
      </c>
      <c r="I39" s="111">
        <v>0.13</v>
      </c>
    </row>
    <row r="40" spans="2:9">
      <c r="B40" s="110">
        <v>13</v>
      </c>
      <c r="C40" s="110" t="s">
        <v>171</v>
      </c>
      <c r="D40" s="110">
        <v>1</v>
      </c>
      <c r="E40" s="110" t="s">
        <v>303</v>
      </c>
      <c r="F40" s="111">
        <v>0.23</v>
      </c>
      <c r="G40" s="111">
        <v>0.05</v>
      </c>
      <c r="H40" s="111">
        <v>0.01</v>
      </c>
      <c r="I40" s="111">
        <v>0.23</v>
      </c>
    </row>
    <row r="41" spans="2:9">
      <c r="B41" s="110">
        <v>13</v>
      </c>
      <c r="C41" s="110" t="s">
        <v>171</v>
      </c>
      <c r="D41" s="110">
        <v>2</v>
      </c>
      <c r="E41" s="110" t="s">
        <v>304</v>
      </c>
      <c r="F41" s="111">
        <v>0.61</v>
      </c>
      <c r="G41" s="111">
        <v>0.56999999999999995</v>
      </c>
      <c r="H41" s="111">
        <v>0.37</v>
      </c>
      <c r="I41" s="111">
        <v>0.61</v>
      </c>
    </row>
    <row r="42" spans="2:9">
      <c r="B42" s="110">
        <v>13</v>
      </c>
      <c r="C42" s="110" t="s">
        <v>171</v>
      </c>
      <c r="D42" s="110">
        <v>3</v>
      </c>
      <c r="E42" s="110" t="s">
        <v>305</v>
      </c>
      <c r="F42" s="111">
        <v>0.16</v>
      </c>
      <c r="G42" s="111">
        <v>0.38</v>
      </c>
      <c r="H42" s="111">
        <v>0.62</v>
      </c>
      <c r="I42" s="111">
        <v>0.16</v>
      </c>
    </row>
    <row r="43" spans="2:9">
      <c r="B43" s="110">
        <v>14</v>
      </c>
      <c r="C43" s="110" t="s">
        <v>172</v>
      </c>
      <c r="D43" s="110">
        <v>1</v>
      </c>
      <c r="E43" s="110" t="s">
        <v>303</v>
      </c>
      <c r="F43" s="111">
        <v>0.37</v>
      </c>
      <c r="G43" s="111">
        <v>0.1</v>
      </c>
      <c r="H43" s="111">
        <v>0.04</v>
      </c>
      <c r="I43" s="111">
        <v>0.37</v>
      </c>
    </row>
    <row r="44" spans="2:9">
      <c r="B44" s="110">
        <v>14</v>
      </c>
      <c r="C44" s="110" t="s">
        <v>172</v>
      </c>
      <c r="D44" s="110">
        <v>2</v>
      </c>
      <c r="E44" s="110" t="s">
        <v>304</v>
      </c>
      <c r="F44" s="111">
        <v>0.52</v>
      </c>
      <c r="G44" s="111">
        <v>0.57999999999999996</v>
      </c>
      <c r="H44" s="111">
        <v>0.4</v>
      </c>
      <c r="I44" s="111">
        <v>0.52</v>
      </c>
    </row>
    <row r="45" spans="2:9">
      <c r="B45" s="110">
        <v>14</v>
      </c>
      <c r="C45" s="110" t="s">
        <v>172</v>
      </c>
      <c r="D45" s="110">
        <v>3</v>
      </c>
      <c r="E45" s="110" t="s">
        <v>305</v>
      </c>
      <c r="F45" s="111">
        <v>0.11</v>
      </c>
      <c r="G45" s="111">
        <v>0.32</v>
      </c>
      <c r="H45" s="111">
        <v>0.56000000000000005</v>
      </c>
      <c r="I45" s="111">
        <v>0.11</v>
      </c>
    </row>
    <row r="46" spans="2:9">
      <c r="B46" s="110">
        <v>15</v>
      </c>
      <c r="C46" s="110" t="s">
        <v>173</v>
      </c>
      <c r="D46" s="110">
        <v>1</v>
      </c>
      <c r="E46" s="110" t="s">
        <v>303</v>
      </c>
      <c r="F46" s="111">
        <v>0.74</v>
      </c>
      <c r="G46" s="111">
        <v>0.12</v>
      </c>
      <c r="H46" s="111">
        <v>0.09</v>
      </c>
      <c r="I46" s="111">
        <v>0.73</v>
      </c>
    </row>
    <row r="47" spans="2:9">
      <c r="B47" s="110">
        <v>15</v>
      </c>
      <c r="C47" s="110" t="s">
        <v>173</v>
      </c>
      <c r="D47" s="110">
        <v>2</v>
      </c>
      <c r="E47" s="110" t="s">
        <v>304</v>
      </c>
      <c r="F47" s="111">
        <v>0.21</v>
      </c>
      <c r="G47" s="111">
        <v>0.53</v>
      </c>
      <c r="H47" s="111">
        <v>0.44</v>
      </c>
      <c r="I47" s="111">
        <v>0.21</v>
      </c>
    </row>
    <row r="48" spans="2:9">
      <c r="B48" s="110">
        <v>15</v>
      </c>
      <c r="C48" s="110" t="s">
        <v>173</v>
      </c>
      <c r="D48" s="110">
        <v>3</v>
      </c>
      <c r="E48" s="110" t="s">
        <v>305</v>
      </c>
      <c r="F48" s="111">
        <v>0.05</v>
      </c>
      <c r="G48" s="111">
        <v>0.35</v>
      </c>
      <c r="H48" s="111">
        <v>0.47</v>
      </c>
      <c r="I48" s="111">
        <v>0.06</v>
      </c>
    </row>
    <row r="49" spans="2:9">
      <c r="B49" s="110">
        <v>16</v>
      </c>
      <c r="C49" s="110" t="s">
        <v>174</v>
      </c>
      <c r="D49" s="110">
        <v>1</v>
      </c>
      <c r="E49" s="110" t="s">
        <v>303</v>
      </c>
      <c r="F49" s="111">
        <v>0.68</v>
      </c>
      <c r="G49" s="111">
        <v>0.28000000000000003</v>
      </c>
      <c r="H49" s="111">
        <v>0.18</v>
      </c>
      <c r="I49" s="111">
        <v>0.67</v>
      </c>
    </row>
    <row r="50" spans="2:9">
      <c r="B50" s="110">
        <v>16</v>
      </c>
      <c r="C50" s="110" t="s">
        <v>174</v>
      </c>
      <c r="D50" s="110">
        <v>2</v>
      </c>
      <c r="E50" s="110" t="s">
        <v>304</v>
      </c>
      <c r="F50" s="111">
        <v>0.28999999999999998</v>
      </c>
      <c r="G50" s="111">
        <v>0.54</v>
      </c>
      <c r="H50" s="111">
        <v>0.51</v>
      </c>
      <c r="I50" s="111">
        <v>0.28999999999999998</v>
      </c>
    </row>
    <row r="51" spans="2:9">
      <c r="B51" s="110">
        <v>16</v>
      </c>
      <c r="C51" s="110" t="s">
        <v>174</v>
      </c>
      <c r="D51" s="110">
        <v>3</v>
      </c>
      <c r="E51" s="110" t="s">
        <v>305</v>
      </c>
      <c r="F51" s="111">
        <v>0.03</v>
      </c>
      <c r="G51" s="111">
        <v>0.18</v>
      </c>
      <c r="H51" s="111">
        <v>0.31</v>
      </c>
      <c r="I51" s="111">
        <v>0.04</v>
      </c>
    </row>
    <row r="52" spans="2:9">
      <c r="B52" s="110">
        <v>17</v>
      </c>
      <c r="C52" s="110" t="s">
        <v>175</v>
      </c>
      <c r="D52" s="110">
        <v>1</v>
      </c>
      <c r="E52" s="110" t="s">
        <v>303</v>
      </c>
      <c r="F52" s="111">
        <v>0.8</v>
      </c>
      <c r="G52" s="111">
        <v>0.3</v>
      </c>
      <c r="H52" s="111">
        <v>0.23</v>
      </c>
      <c r="I52" s="111">
        <v>0.77</v>
      </c>
    </row>
    <row r="53" spans="2:9">
      <c r="B53" s="110">
        <v>17</v>
      </c>
      <c r="C53" s="110" t="s">
        <v>175</v>
      </c>
      <c r="D53" s="110">
        <v>2</v>
      </c>
      <c r="E53" s="110" t="s">
        <v>304</v>
      </c>
      <c r="F53" s="111">
        <v>0.18</v>
      </c>
      <c r="G53" s="111">
        <v>0.34</v>
      </c>
      <c r="H53" s="111">
        <v>0.37</v>
      </c>
      <c r="I53" s="111">
        <v>0.17</v>
      </c>
    </row>
    <row r="54" spans="2:9">
      <c r="B54" s="110">
        <v>17</v>
      </c>
      <c r="C54" s="110" t="s">
        <v>175</v>
      </c>
      <c r="D54" s="110">
        <v>3</v>
      </c>
      <c r="E54" s="110" t="s">
        <v>305</v>
      </c>
      <c r="F54" s="111">
        <v>0.02</v>
      </c>
      <c r="G54" s="111">
        <v>0.36</v>
      </c>
      <c r="H54" s="111">
        <v>0.4</v>
      </c>
      <c r="I54" s="111">
        <v>0.06</v>
      </c>
    </row>
    <row r="55" spans="2:9">
      <c r="B55" s="110">
        <v>18</v>
      </c>
      <c r="C55" s="110" t="s">
        <v>176</v>
      </c>
      <c r="D55" s="110">
        <v>1</v>
      </c>
      <c r="E55" s="110" t="s">
        <v>303</v>
      </c>
      <c r="F55" s="111">
        <v>0.46</v>
      </c>
      <c r="G55" s="111">
        <v>0.12</v>
      </c>
      <c r="H55" s="111">
        <v>7.0000000000000007E-2</v>
      </c>
      <c r="I55" s="111">
        <v>0.46</v>
      </c>
    </row>
    <row r="56" spans="2:9">
      <c r="B56" s="110">
        <v>18</v>
      </c>
      <c r="C56" s="110" t="s">
        <v>176</v>
      </c>
      <c r="D56" s="110">
        <v>2</v>
      </c>
      <c r="E56" s="110" t="s">
        <v>304</v>
      </c>
      <c r="F56" s="111">
        <v>0.44</v>
      </c>
      <c r="G56" s="111">
        <v>0.54</v>
      </c>
      <c r="H56" s="111">
        <v>0.42</v>
      </c>
      <c r="I56" s="111">
        <v>0.44</v>
      </c>
    </row>
    <row r="57" spans="2:9">
      <c r="B57" s="110">
        <v>18</v>
      </c>
      <c r="C57" s="110" t="s">
        <v>176</v>
      </c>
      <c r="D57" s="110">
        <v>3</v>
      </c>
      <c r="E57" s="110" t="s">
        <v>305</v>
      </c>
      <c r="F57" s="111">
        <v>0.1</v>
      </c>
      <c r="G57" s="111">
        <v>0.34</v>
      </c>
      <c r="H57" s="111">
        <v>0.51</v>
      </c>
      <c r="I57" s="111">
        <v>0.1</v>
      </c>
    </row>
    <row r="58" spans="2:9">
      <c r="B58" s="110">
        <v>19</v>
      </c>
      <c r="C58" s="110" t="s">
        <v>177</v>
      </c>
      <c r="D58" s="110">
        <v>1</v>
      </c>
      <c r="E58" s="110" t="s">
        <v>303</v>
      </c>
      <c r="F58" s="111">
        <v>0.36</v>
      </c>
      <c r="G58" s="111">
        <v>0.1</v>
      </c>
      <c r="H58" s="111">
        <v>0.04</v>
      </c>
      <c r="I58" s="111">
        <v>0.36</v>
      </c>
    </row>
    <row r="59" spans="2:9">
      <c r="B59" s="110">
        <v>19</v>
      </c>
      <c r="C59" s="110" t="s">
        <v>177</v>
      </c>
      <c r="D59" s="110">
        <v>2</v>
      </c>
      <c r="E59" s="110" t="s">
        <v>304</v>
      </c>
      <c r="F59" s="111">
        <v>0.56000000000000005</v>
      </c>
      <c r="G59" s="111">
        <v>0.66</v>
      </c>
      <c r="H59" s="111">
        <v>0.55000000000000004</v>
      </c>
      <c r="I59" s="111">
        <v>0.56000000000000005</v>
      </c>
    </row>
    <row r="60" spans="2:9">
      <c r="B60" s="110">
        <v>19</v>
      </c>
      <c r="C60" s="110" t="s">
        <v>177</v>
      </c>
      <c r="D60" s="110">
        <v>3</v>
      </c>
      <c r="E60" s="110" t="s">
        <v>305</v>
      </c>
      <c r="F60" s="111">
        <v>0.08</v>
      </c>
      <c r="G60" s="111">
        <v>0.24</v>
      </c>
      <c r="H60" s="111">
        <v>0.41</v>
      </c>
      <c r="I60" s="111">
        <v>0.08</v>
      </c>
    </row>
    <row r="61" spans="2:9">
      <c r="B61" s="110">
        <v>20</v>
      </c>
      <c r="C61" s="110" t="s">
        <v>178</v>
      </c>
      <c r="D61" s="110">
        <v>1</v>
      </c>
      <c r="E61" s="110" t="s">
        <v>303</v>
      </c>
      <c r="F61" s="111">
        <v>0.62</v>
      </c>
      <c r="G61" s="111">
        <v>0.1</v>
      </c>
      <c r="H61" s="111">
        <v>7.0000000000000007E-2</v>
      </c>
      <c r="I61" s="111">
        <v>0.61</v>
      </c>
    </row>
    <row r="62" spans="2:9">
      <c r="B62" s="110">
        <v>20</v>
      </c>
      <c r="C62" s="110" t="s">
        <v>178</v>
      </c>
      <c r="D62" s="110">
        <v>2</v>
      </c>
      <c r="E62" s="110" t="s">
        <v>304</v>
      </c>
      <c r="F62" s="111">
        <v>0.33</v>
      </c>
      <c r="G62" s="111">
        <v>0.48</v>
      </c>
      <c r="H62" s="111">
        <v>0.45</v>
      </c>
      <c r="I62" s="111">
        <v>0.32</v>
      </c>
    </row>
    <row r="63" spans="2:9">
      <c r="B63" s="110">
        <v>20</v>
      </c>
      <c r="C63" s="110" t="s">
        <v>178</v>
      </c>
      <c r="D63" s="110">
        <v>3</v>
      </c>
      <c r="E63" s="110" t="s">
        <v>305</v>
      </c>
      <c r="F63" s="111">
        <v>0.05</v>
      </c>
      <c r="G63" s="111">
        <v>0.42</v>
      </c>
      <c r="H63" s="111">
        <v>0.48</v>
      </c>
      <c r="I63" s="111">
        <v>7.0000000000000007E-2</v>
      </c>
    </row>
    <row r="64" spans="2:9">
      <c r="B64" s="110">
        <v>21</v>
      </c>
      <c r="C64" s="110" t="s">
        <v>179</v>
      </c>
      <c r="D64" s="110">
        <v>1</v>
      </c>
      <c r="E64" s="110" t="s">
        <v>303</v>
      </c>
      <c r="F64" s="111">
        <v>0.39</v>
      </c>
      <c r="G64" s="111">
        <v>0.1</v>
      </c>
      <c r="H64" s="111">
        <v>0.04</v>
      </c>
      <c r="I64" s="111">
        <v>0.39</v>
      </c>
    </row>
    <row r="65" spans="2:9">
      <c r="B65" s="110">
        <v>21</v>
      </c>
      <c r="C65" s="110" t="s">
        <v>179</v>
      </c>
      <c r="D65" s="110">
        <v>2</v>
      </c>
      <c r="E65" s="110" t="s">
        <v>304</v>
      </c>
      <c r="F65" s="111">
        <v>0.51</v>
      </c>
      <c r="G65" s="111">
        <v>0.62</v>
      </c>
      <c r="H65" s="111">
        <v>0.43</v>
      </c>
      <c r="I65" s="111">
        <v>0.51</v>
      </c>
    </row>
    <row r="66" spans="2:9">
      <c r="B66" s="110">
        <v>21</v>
      </c>
      <c r="C66" s="110" t="s">
        <v>179</v>
      </c>
      <c r="D66" s="110">
        <v>3</v>
      </c>
      <c r="E66" s="110" t="s">
        <v>305</v>
      </c>
      <c r="F66" s="111">
        <v>0.1</v>
      </c>
      <c r="G66" s="111">
        <v>0.28000000000000003</v>
      </c>
      <c r="H66" s="111">
        <v>0.53</v>
      </c>
      <c r="I66" s="111">
        <v>0.1</v>
      </c>
    </row>
    <row r="67" spans="2:9">
      <c r="B67" s="110">
        <v>22</v>
      </c>
      <c r="C67" s="110" t="s">
        <v>180</v>
      </c>
      <c r="D67" s="110">
        <v>1</v>
      </c>
      <c r="E67" s="110" t="s">
        <v>303</v>
      </c>
      <c r="F67" s="111">
        <v>0.28999999999999998</v>
      </c>
      <c r="G67" s="111">
        <v>0.08</v>
      </c>
      <c r="H67" s="111">
        <v>0.04</v>
      </c>
      <c r="I67" s="111">
        <v>0.28999999999999998</v>
      </c>
    </row>
    <row r="68" spans="2:9">
      <c r="B68" s="110">
        <v>22</v>
      </c>
      <c r="C68" s="110" t="s">
        <v>180</v>
      </c>
      <c r="D68" s="110">
        <v>2</v>
      </c>
      <c r="E68" s="110" t="s">
        <v>304</v>
      </c>
      <c r="F68" s="111">
        <v>0.61</v>
      </c>
      <c r="G68" s="111">
        <v>0.67</v>
      </c>
      <c r="H68" s="111">
        <v>0.54</v>
      </c>
      <c r="I68" s="111">
        <v>0.61</v>
      </c>
    </row>
    <row r="69" spans="2:9">
      <c r="B69" s="110">
        <v>22</v>
      </c>
      <c r="C69" s="110" t="s">
        <v>180</v>
      </c>
      <c r="D69" s="110">
        <v>3</v>
      </c>
      <c r="E69" s="110" t="s">
        <v>305</v>
      </c>
      <c r="F69" s="111">
        <v>0.1</v>
      </c>
      <c r="G69" s="111">
        <v>0.25</v>
      </c>
      <c r="H69" s="111">
        <v>0.42</v>
      </c>
      <c r="I69" s="111">
        <v>0.1</v>
      </c>
    </row>
    <row r="70" spans="2:9">
      <c r="B70" s="110">
        <v>23</v>
      </c>
      <c r="C70" s="110" t="s">
        <v>181</v>
      </c>
      <c r="D70" s="110">
        <v>1</v>
      </c>
      <c r="E70" s="110" t="s">
        <v>303</v>
      </c>
      <c r="F70" s="111">
        <v>0.5</v>
      </c>
      <c r="G70" s="111">
        <v>0.13</v>
      </c>
      <c r="H70" s="111">
        <v>0.05</v>
      </c>
      <c r="I70" s="111">
        <v>0.5</v>
      </c>
    </row>
    <row r="71" spans="2:9">
      <c r="B71" s="110">
        <v>23</v>
      </c>
      <c r="C71" s="110" t="s">
        <v>181</v>
      </c>
      <c r="D71" s="110">
        <v>2</v>
      </c>
      <c r="E71" s="110" t="s">
        <v>304</v>
      </c>
      <c r="F71" s="111">
        <v>0.43</v>
      </c>
      <c r="G71" s="111">
        <v>0.6</v>
      </c>
      <c r="H71" s="111">
        <v>0.45</v>
      </c>
      <c r="I71" s="111">
        <v>0.43</v>
      </c>
    </row>
    <row r="72" spans="2:9">
      <c r="B72" s="110">
        <v>23</v>
      </c>
      <c r="C72" s="110" t="s">
        <v>181</v>
      </c>
      <c r="D72" s="110">
        <v>3</v>
      </c>
      <c r="E72" s="110" t="s">
        <v>305</v>
      </c>
      <c r="F72" s="111">
        <v>7.0000000000000007E-2</v>
      </c>
      <c r="G72" s="111">
        <v>0.27</v>
      </c>
      <c r="H72" s="111">
        <v>0.5</v>
      </c>
      <c r="I72" s="111">
        <v>7.0000000000000007E-2</v>
      </c>
    </row>
    <row r="73" spans="2:9">
      <c r="B73" s="110">
        <v>24</v>
      </c>
      <c r="C73" s="110" t="s">
        <v>182</v>
      </c>
      <c r="D73" s="110">
        <v>1</v>
      </c>
      <c r="E73" s="110" t="s">
        <v>303</v>
      </c>
      <c r="F73" s="111">
        <v>0.35</v>
      </c>
      <c r="G73" s="111">
        <v>0.08</v>
      </c>
      <c r="H73" s="111">
        <v>0.03</v>
      </c>
      <c r="I73" s="111">
        <v>0.36</v>
      </c>
    </row>
    <row r="74" spans="2:9">
      <c r="B74" s="110">
        <v>24</v>
      </c>
      <c r="C74" s="110" t="s">
        <v>182</v>
      </c>
      <c r="D74" s="110">
        <v>2</v>
      </c>
      <c r="E74" s="110" t="s">
        <v>304</v>
      </c>
      <c r="F74" s="111">
        <v>0.54</v>
      </c>
      <c r="G74" s="111">
        <v>0.57999999999999996</v>
      </c>
      <c r="H74" s="111">
        <v>0.42</v>
      </c>
      <c r="I74" s="111">
        <v>0.53</v>
      </c>
    </row>
    <row r="75" spans="2:9">
      <c r="B75" s="110">
        <v>24</v>
      </c>
      <c r="C75" s="110" t="s">
        <v>182</v>
      </c>
      <c r="D75" s="110">
        <v>3</v>
      </c>
      <c r="E75" s="110" t="s">
        <v>305</v>
      </c>
      <c r="F75" s="111">
        <v>0.11</v>
      </c>
      <c r="G75" s="111">
        <v>0.34</v>
      </c>
      <c r="H75" s="111">
        <v>0.55000000000000004</v>
      </c>
      <c r="I75" s="111">
        <v>0.11</v>
      </c>
    </row>
    <row r="76" spans="2:9">
      <c r="B76" s="110">
        <v>25</v>
      </c>
      <c r="C76" s="110" t="s">
        <v>183</v>
      </c>
      <c r="D76" s="110">
        <v>1</v>
      </c>
      <c r="E76" s="110" t="s">
        <v>303</v>
      </c>
      <c r="F76" s="111">
        <v>0.47</v>
      </c>
      <c r="G76" s="111">
        <v>0.12</v>
      </c>
      <c r="H76" s="111">
        <v>0.06</v>
      </c>
      <c r="I76" s="111">
        <v>0.45</v>
      </c>
    </row>
    <row r="77" spans="2:9">
      <c r="B77" s="110">
        <v>25</v>
      </c>
      <c r="C77" s="110" t="s">
        <v>183</v>
      </c>
      <c r="D77" s="110">
        <v>2</v>
      </c>
      <c r="E77" s="110" t="s">
        <v>304</v>
      </c>
      <c r="F77" s="111">
        <v>0.43</v>
      </c>
      <c r="G77" s="111">
        <v>0.53</v>
      </c>
      <c r="H77" s="111">
        <v>0.39</v>
      </c>
      <c r="I77" s="111">
        <v>0.41</v>
      </c>
    </row>
    <row r="78" spans="2:9">
      <c r="B78" s="110">
        <v>25</v>
      </c>
      <c r="C78" s="110" t="s">
        <v>183</v>
      </c>
      <c r="D78" s="110">
        <v>3</v>
      </c>
      <c r="E78" s="110" t="s">
        <v>305</v>
      </c>
      <c r="F78" s="111">
        <v>0.1</v>
      </c>
      <c r="G78" s="111">
        <v>0.35</v>
      </c>
      <c r="H78" s="111">
        <v>0.55000000000000004</v>
      </c>
      <c r="I78" s="111">
        <v>0.14000000000000001</v>
      </c>
    </row>
    <row r="79" spans="2:9">
      <c r="B79" s="110">
        <v>26</v>
      </c>
      <c r="C79" s="110" t="s">
        <v>184</v>
      </c>
      <c r="D79" s="110">
        <v>1</v>
      </c>
      <c r="E79" s="110" t="s">
        <v>303</v>
      </c>
      <c r="F79" s="111">
        <v>0.28999999999999998</v>
      </c>
      <c r="G79" s="111">
        <v>7.0000000000000007E-2</v>
      </c>
      <c r="H79" s="111">
        <v>0.03</v>
      </c>
      <c r="I79" s="111">
        <v>0.28000000000000003</v>
      </c>
    </row>
    <row r="80" spans="2:9">
      <c r="B80" s="110">
        <v>26</v>
      </c>
      <c r="C80" s="110" t="s">
        <v>184</v>
      </c>
      <c r="D80" s="110">
        <v>2</v>
      </c>
      <c r="E80" s="110" t="s">
        <v>304</v>
      </c>
      <c r="F80" s="111">
        <v>0.6</v>
      </c>
      <c r="G80" s="111">
        <v>0.63</v>
      </c>
      <c r="H80" s="111">
        <v>0.48</v>
      </c>
      <c r="I80" s="111">
        <v>0.6</v>
      </c>
    </row>
    <row r="81" spans="2:9">
      <c r="B81" s="110">
        <v>26</v>
      </c>
      <c r="C81" s="110" t="s">
        <v>184</v>
      </c>
      <c r="D81" s="110">
        <v>3</v>
      </c>
      <c r="E81" s="110" t="s">
        <v>305</v>
      </c>
      <c r="F81" s="111">
        <v>0.11</v>
      </c>
      <c r="G81" s="111">
        <v>0.3</v>
      </c>
      <c r="H81" s="111">
        <v>0.49</v>
      </c>
      <c r="I81" s="111">
        <v>0.12</v>
      </c>
    </row>
    <row r="82" spans="2:9">
      <c r="B82" s="110">
        <v>27</v>
      </c>
      <c r="C82" s="110" t="s">
        <v>185</v>
      </c>
      <c r="D82" s="110">
        <v>1</v>
      </c>
      <c r="E82" s="110" t="s">
        <v>303</v>
      </c>
      <c r="F82" s="111">
        <v>0.52</v>
      </c>
      <c r="G82" s="111">
        <v>0.16</v>
      </c>
      <c r="H82" s="111">
        <v>7.0000000000000007E-2</v>
      </c>
      <c r="I82" s="111">
        <v>0.52</v>
      </c>
    </row>
    <row r="83" spans="2:9">
      <c r="B83" s="110">
        <v>27</v>
      </c>
      <c r="C83" s="110" t="s">
        <v>185</v>
      </c>
      <c r="D83" s="110">
        <v>2</v>
      </c>
      <c r="E83" s="110" t="s">
        <v>304</v>
      </c>
      <c r="F83" s="111">
        <v>0.42</v>
      </c>
      <c r="G83" s="111">
        <v>0.61</v>
      </c>
      <c r="H83" s="111">
        <v>0.52</v>
      </c>
      <c r="I83" s="111">
        <v>0.42</v>
      </c>
    </row>
    <row r="84" spans="2:9">
      <c r="B84" s="110">
        <v>27</v>
      </c>
      <c r="C84" s="110" t="s">
        <v>185</v>
      </c>
      <c r="D84" s="110">
        <v>3</v>
      </c>
      <c r="E84" s="110" t="s">
        <v>305</v>
      </c>
      <c r="F84" s="111">
        <v>0.06</v>
      </c>
      <c r="G84" s="111">
        <v>0.23</v>
      </c>
      <c r="H84" s="111">
        <v>0.41</v>
      </c>
      <c r="I84" s="111">
        <v>0.06</v>
      </c>
    </row>
    <row r="85" spans="2:9">
      <c r="B85" s="110">
        <v>28</v>
      </c>
      <c r="C85" s="110" t="s">
        <v>186</v>
      </c>
      <c r="D85" s="110">
        <v>1</v>
      </c>
      <c r="E85" s="110" t="s">
        <v>303</v>
      </c>
      <c r="F85" s="111">
        <v>0.45</v>
      </c>
      <c r="G85" s="111">
        <v>0.13</v>
      </c>
      <c r="H85" s="111">
        <v>0.06</v>
      </c>
      <c r="I85" s="111">
        <v>0.45</v>
      </c>
    </row>
    <row r="86" spans="2:9">
      <c r="B86" s="110">
        <v>28</v>
      </c>
      <c r="C86" s="110" t="s">
        <v>186</v>
      </c>
      <c r="D86" s="110">
        <v>2</v>
      </c>
      <c r="E86" s="110" t="s">
        <v>304</v>
      </c>
      <c r="F86" s="111">
        <v>0.47</v>
      </c>
      <c r="G86" s="111">
        <v>0.56999999999999995</v>
      </c>
      <c r="H86" s="111">
        <v>0.44</v>
      </c>
      <c r="I86" s="111">
        <v>0.47</v>
      </c>
    </row>
    <row r="87" spans="2:9">
      <c r="B87" s="110">
        <v>28</v>
      </c>
      <c r="C87" s="110" t="s">
        <v>186</v>
      </c>
      <c r="D87" s="110">
        <v>3</v>
      </c>
      <c r="E87" s="110" t="s">
        <v>305</v>
      </c>
      <c r="F87" s="111">
        <v>0.08</v>
      </c>
      <c r="G87" s="111">
        <v>0.3</v>
      </c>
      <c r="H87" s="111">
        <v>0.5</v>
      </c>
      <c r="I87" s="111">
        <v>0.08</v>
      </c>
    </row>
    <row r="88" spans="2:9">
      <c r="B88" s="110">
        <v>29</v>
      </c>
      <c r="C88" s="110" t="s">
        <v>187</v>
      </c>
      <c r="D88" s="110">
        <v>1</v>
      </c>
      <c r="E88" s="110" t="s">
        <v>303</v>
      </c>
      <c r="F88" s="111">
        <v>0.38</v>
      </c>
      <c r="G88" s="111">
        <v>0.08</v>
      </c>
      <c r="H88" s="111">
        <v>0.04</v>
      </c>
      <c r="I88" s="111">
        <v>0.38</v>
      </c>
    </row>
    <row r="89" spans="2:9">
      <c r="B89" s="110">
        <v>29</v>
      </c>
      <c r="C89" s="110" t="s">
        <v>187</v>
      </c>
      <c r="D89" s="110">
        <v>2</v>
      </c>
      <c r="E89" s="110" t="s">
        <v>304</v>
      </c>
      <c r="F89" s="111">
        <v>0.51</v>
      </c>
      <c r="G89" s="111">
        <v>0.5</v>
      </c>
      <c r="H89" s="111">
        <v>0.4</v>
      </c>
      <c r="I89" s="111">
        <v>0.5</v>
      </c>
    </row>
    <row r="90" spans="2:9">
      <c r="B90" s="110">
        <v>29</v>
      </c>
      <c r="C90" s="110" t="s">
        <v>187</v>
      </c>
      <c r="D90" s="110">
        <v>3</v>
      </c>
      <c r="E90" s="110" t="s">
        <v>305</v>
      </c>
      <c r="F90" s="111">
        <v>0.11</v>
      </c>
      <c r="G90" s="111">
        <v>0.42</v>
      </c>
      <c r="H90" s="111">
        <v>0.56000000000000005</v>
      </c>
      <c r="I90" s="111">
        <v>0.12</v>
      </c>
    </row>
    <row r="91" spans="2:9">
      <c r="B91" s="110">
        <v>30</v>
      </c>
      <c r="C91" s="110" t="s">
        <v>188</v>
      </c>
      <c r="D91" s="110">
        <v>1</v>
      </c>
      <c r="E91" s="110" t="s">
        <v>303</v>
      </c>
      <c r="F91" s="111">
        <v>0.8</v>
      </c>
      <c r="G91" s="111">
        <v>0.14000000000000001</v>
      </c>
      <c r="H91" s="111">
        <v>0.1</v>
      </c>
      <c r="I91" s="111">
        <v>0.79</v>
      </c>
    </row>
    <row r="92" spans="2:9">
      <c r="B92" s="110">
        <v>30</v>
      </c>
      <c r="C92" s="110" t="s">
        <v>188</v>
      </c>
      <c r="D92" s="110">
        <v>2</v>
      </c>
      <c r="E92" s="110" t="s">
        <v>304</v>
      </c>
      <c r="F92" s="111">
        <v>0.18</v>
      </c>
      <c r="G92" s="111">
        <v>0.66</v>
      </c>
      <c r="H92" s="111">
        <v>0.61</v>
      </c>
      <c r="I92" s="111">
        <v>0.19</v>
      </c>
    </row>
    <row r="93" spans="2:9">
      <c r="B93" s="110">
        <v>30</v>
      </c>
      <c r="C93" s="110" t="s">
        <v>188</v>
      </c>
      <c r="D93" s="110">
        <v>3</v>
      </c>
      <c r="E93" s="110" t="s">
        <v>305</v>
      </c>
      <c r="F93" s="111">
        <v>0.02</v>
      </c>
      <c r="G93" s="111">
        <v>0.2</v>
      </c>
      <c r="H93" s="111">
        <v>0.28999999999999998</v>
      </c>
      <c r="I93" s="111">
        <v>0.02</v>
      </c>
    </row>
    <row r="94" spans="2:9">
      <c r="B94" s="110">
        <v>31</v>
      </c>
      <c r="C94" s="110" t="s">
        <v>189</v>
      </c>
      <c r="D94" s="110">
        <v>1</v>
      </c>
      <c r="E94" s="110" t="s">
        <v>303</v>
      </c>
      <c r="F94" s="111">
        <v>0.55000000000000004</v>
      </c>
      <c r="G94" s="111">
        <v>0.18</v>
      </c>
      <c r="H94" s="111">
        <v>0.1</v>
      </c>
      <c r="I94" s="111">
        <v>0.55000000000000004</v>
      </c>
    </row>
    <row r="95" spans="2:9">
      <c r="B95" s="110">
        <v>31</v>
      </c>
      <c r="C95" s="110" t="s">
        <v>189</v>
      </c>
      <c r="D95" s="110">
        <v>2</v>
      </c>
      <c r="E95" s="110" t="s">
        <v>304</v>
      </c>
      <c r="F95" s="111">
        <v>0.39</v>
      </c>
      <c r="G95" s="111">
        <v>0.6</v>
      </c>
      <c r="H95" s="111">
        <v>0.51</v>
      </c>
      <c r="I95" s="111">
        <v>0.39</v>
      </c>
    </row>
    <row r="96" spans="2:9">
      <c r="B96" s="110">
        <v>31</v>
      </c>
      <c r="C96" s="110" t="s">
        <v>189</v>
      </c>
      <c r="D96" s="110">
        <v>3</v>
      </c>
      <c r="E96" s="110" t="s">
        <v>305</v>
      </c>
      <c r="F96" s="111">
        <v>0.06</v>
      </c>
      <c r="G96" s="111">
        <v>0.22</v>
      </c>
      <c r="H96" s="111">
        <v>0.39</v>
      </c>
      <c r="I96" s="111">
        <v>0.06</v>
      </c>
    </row>
    <row r="97" spans="2:9">
      <c r="B97" s="110">
        <v>32</v>
      </c>
      <c r="C97" s="110" t="s">
        <v>190</v>
      </c>
      <c r="D97" s="110">
        <v>1</v>
      </c>
      <c r="E97" s="110" t="s">
        <v>303</v>
      </c>
      <c r="F97" s="111">
        <v>0.35</v>
      </c>
      <c r="G97" s="111">
        <v>0.12</v>
      </c>
      <c r="H97" s="111">
        <v>0.04</v>
      </c>
      <c r="I97" s="111">
        <v>0.35</v>
      </c>
    </row>
    <row r="98" spans="2:9">
      <c r="B98" s="110">
        <v>32</v>
      </c>
      <c r="C98" s="110" t="s">
        <v>190</v>
      </c>
      <c r="D98" s="110">
        <v>2</v>
      </c>
      <c r="E98" s="110" t="s">
        <v>304</v>
      </c>
      <c r="F98" s="111">
        <v>0.6</v>
      </c>
      <c r="G98" s="111">
        <v>0.73</v>
      </c>
      <c r="H98" s="111">
        <v>0.65</v>
      </c>
      <c r="I98" s="111">
        <v>0.6</v>
      </c>
    </row>
    <row r="99" spans="2:9">
      <c r="B99" s="110">
        <v>32</v>
      </c>
      <c r="C99" s="110" t="s">
        <v>190</v>
      </c>
      <c r="D99" s="110">
        <v>3</v>
      </c>
      <c r="E99" s="110" t="s">
        <v>305</v>
      </c>
      <c r="F99" s="111">
        <v>0.05</v>
      </c>
      <c r="G99" s="111">
        <v>0.15</v>
      </c>
      <c r="H99" s="111">
        <v>0.31</v>
      </c>
      <c r="I99" s="111">
        <v>0.05</v>
      </c>
    </row>
    <row r="100" spans="2:9">
      <c r="B100" s="110">
        <v>33</v>
      </c>
      <c r="C100" s="110" t="s">
        <v>191</v>
      </c>
      <c r="D100" s="110">
        <v>1</v>
      </c>
      <c r="E100" s="110" t="s">
        <v>303</v>
      </c>
      <c r="F100" s="111">
        <v>0.52</v>
      </c>
      <c r="G100" s="111">
        <v>0.17</v>
      </c>
      <c r="H100" s="111">
        <v>0.05</v>
      </c>
      <c r="I100" s="111">
        <v>0.52</v>
      </c>
    </row>
    <row r="101" spans="2:9">
      <c r="B101" s="110">
        <v>33</v>
      </c>
      <c r="C101" s="110" t="s">
        <v>191</v>
      </c>
      <c r="D101" s="110">
        <v>2</v>
      </c>
      <c r="E101" s="110" t="s">
        <v>304</v>
      </c>
      <c r="F101" s="111">
        <v>0.41</v>
      </c>
      <c r="G101" s="111">
        <v>0.6</v>
      </c>
      <c r="H101" s="111">
        <v>0.69</v>
      </c>
      <c r="I101" s="111">
        <v>0.41</v>
      </c>
    </row>
    <row r="102" spans="2:9">
      <c r="B102" s="110">
        <v>33</v>
      </c>
      <c r="C102" s="110" t="s">
        <v>191</v>
      </c>
      <c r="D102" s="110">
        <v>3</v>
      </c>
      <c r="E102" s="110" t="s">
        <v>305</v>
      </c>
      <c r="F102" s="111">
        <v>7.0000000000000007E-2</v>
      </c>
      <c r="G102" s="111">
        <v>0.23</v>
      </c>
      <c r="H102" s="111">
        <v>0.26</v>
      </c>
      <c r="I102" s="111">
        <v>7.0000000000000007E-2</v>
      </c>
    </row>
    <row r="103" spans="2:9">
      <c r="B103" s="110">
        <v>34</v>
      </c>
      <c r="C103" s="110" t="s">
        <v>192</v>
      </c>
      <c r="D103" s="110">
        <v>1</v>
      </c>
      <c r="E103" s="110" t="s">
        <v>303</v>
      </c>
      <c r="F103" s="111">
        <v>0.48</v>
      </c>
      <c r="G103" s="111">
        <v>0.12</v>
      </c>
      <c r="H103" s="111">
        <v>0.06</v>
      </c>
      <c r="I103" s="111">
        <v>0.47</v>
      </c>
    </row>
    <row r="104" spans="2:9">
      <c r="B104" s="110">
        <v>34</v>
      </c>
      <c r="C104" s="110" t="s">
        <v>192</v>
      </c>
      <c r="D104" s="110">
        <v>2</v>
      </c>
      <c r="E104" s="110" t="s">
        <v>304</v>
      </c>
      <c r="F104" s="111">
        <v>0.44</v>
      </c>
      <c r="G104" s="111">
        <v>0.53</v>
      </c>
      <c r="H104" s="111">
        <v>0.42</v>
      </c>
      <c r="I104" s="111">
        <v>0.42</v>
      </c>
    </row>
    <row r="105" spans="2:9">
      <c r="B105" s="110">
        <v>34</v>
      </c>
      <c r="C105" s="110" t="s">
        <v>192</v>
      </c>
      <c r="D105" s="110">
        <v>3</v>
      </c>
      <c r="E105" s="110" t="s">
        <v>305</v>
      </c>
      <c r="F105" s="111">
        <v>0.08</v>
      </c>
      <c r="G105" s="111">
        <v>0.35</v>
      </c>
      <c r="H105" s="111">
        <v>0.52</v>
      </c>
      <c r="I105" s="111">
        <v>0.11</v>
      </c>
    </row>
    <row r="106" spans="2:9">
      <c r="B106" s="110">
        <v>35</v>
      </c>
      <c r="C106" s="110" t="s">
        <v>193</v>
      </c>
      <c r="D106" s="110">
        <v>1</v>
      </c>
      <c r="E106" s="110" t="s">
        <v>303</v>
      </c>
      <c r="F106" s="111">
        <v>0.42</v>
      </c>
      <c r="G106" s="111">
        <v>0.18</v>
      </c>
      <c r="H106" s="111">
        <v>0.06</v>
      </c>
      <c r="I106" s="111">
        <v>0.42</v>
      </c>
    </row>
    <row r="107" spans="2:9">
      <c r="B107" s="110">
        <v>35</v>
      </c>
      <c r="C107" s="110" t="s">
        <v>193</v>
      </c>
      <c r="D107" s="110">
        <v>2</v>
      </c>
      <c r="E107" s="110" t="s">
        <v>304</v>
      </c>
      <c r="F107" s="111">
        <v>0.55000000000000004</v>
      </c>
      <c r="G107" s="111">
        <v>0.68</v>
      </c>
      <c r="H107" s="111">
        <v>0.71</v>
      </c>
      <c r="I107" s="111">
        <v>0.55000000000000004</v>
      </c>
    </row>
    <row r="108" spans="2:9">
      <c r="B108" s="110">
        <v>35</v>
      </c>
      <c r="C108" s="110" t="s">
        <v>193</v>
      </c>
      <c r="D108" s="110">
        <v>3</v>
      </c>
      <c r="E108" s="110" t="s">
        <v>305</v>
      </c>
      <c r="F108" s="111">
        <v>0.03</v>
      </c>
      <c r="G108" s="111">
        <v>0.14000000000000001</v>
      </c>
      <c r="H108" s="111">
        <v>0.23</v>
      </c>
      <c r="I108" s="111">
        <v>0.03</v>
      </c>
    </row>
    <row r="109" spans="2:9">
      <c r="B109" s="110">
        <v>36</v>
      </c>
      <c r="C109" s="110" t="s">
        <v>194</v>
      </c>
      <c r="D109" s="110">
        <v>1</v>
      </c>
      <c r="E109" s="110" t="s">
        <v>303</v>
      </c>
      <c r="F109" s="111">
        <v>0.57999999999999996</v>
      </c>
      <c r="G109" s="111">
        <v>0.17</v>
      </c>
      <c r="H109" s="111">
        <v>0.08</v>
      </c>
      <c r="I109" s="111">
        <v>0.56999999999999995</v>
      </c>
    </row>
    <row r="110" spans="2:9">
      <c r="B110" s="110">
        <v>36</v>
      </c>
      <c r="C110" s="110" t="s">
        <v>194</v>
      </c>
      <c r="D110" s="110">
        <v>2</v>
      </c>
      <c r="E110" s="110" t="s">
        <v>304</v>
      </c>
      <c r="F110" s="111">
        <v>0.37</v>
      </c>
      <c r="G110" s="111">
        <v>0.6</v>
      </c>
      <c r="H110" s="111">
        <v>0.5</v>
      </c>
      <c r="I110" s="111">
        <v>0.37</v>
      </c>
    </row>
    <row r="111" spans="2:9">
      <c r="B111" s="110">
        <v>36</v>
      </c>
      <c r="C111" s="110" t="s">
        <v>194</v>
      </c>
      <c r="D111" s="110">
        <v>3</v>
      </c>
      <c r="E111" s="110" t="s">
        <v>305</v>
      </c>
      <c r="F111" s="111">
        <v>0.05</v>
      </c>
      <c r="G111" s="111">
        <v>0.23</v>
      </c>
      <c r="H111" s="111">
        <v>0.42</v>
      </c>
      <c r="I111" s="111">
        <v>0.06</v>
      </c>
    </row>
    <row r="112" spans="2:9">
      <c r="B112" s="110">
        <v>37</v>
      </c>
      <c r="C112" s="110" t="s">
        <v>195</v>
      </c>
      <c r="D112" s="110">
        <v>1</v>
      </c>
      <c r="E112" s="110" t="s">
        <v>303</v>
      </c>
      <c r="F112" s="111">
        <v>0.56000000000000005</v>
      </c>
      <c r="G112" s="111">
        <v>0.19</v>
      </c>
      <c r="H112" s="111">
        <v>0.09</v>
      </c>
      <c r="I112" s="111">
        <v>0.24</v>
      </c>
    </row>
    <row r="113" spans="2:9">
      <c r="B113" s="110">
        <v>37</v>
      </c>
      <c r="C113" s="110" t="s">
        <v>195</v>
      </c>
      <c r="D113" s="110">
        <v>2</v>
      </c>
      <c r="E113" s="110" t="s">
        <v>304</v>
      </c>
      <c r="F113" s="111">
        <v>0.41</v>
      </c>
      <c r="G113" s="111">
        <v>0.69</v>
      </c>
      <c r="H113" s="111">
        <v>0.65</v>
      </c>
      <c r="I113" s="111">
        <v>0.64</v>
      </c>
    </row>
    <row r="114" spans="2:9">
      <c r="B114" s="110">
        <v>37</v>
      </c>
      <c r="C114" s="110" t="s">
        <v>195</v>
      </c>
      <c r="D114" s="110">
        <v>3</v>
      </c>
      <c r="E114" s="110" t="s">
        <v>305</v>
      </c>
      <c r="F114" s="111">
        <v>0.03</v>
      </c>
      <c r="G114" s="111">
        <v>0.12</v>
      </c>
      <c r="H114" s="111">
        <v>0.26</v>
      </c>
      <c r="I114" s="111">
        <v>0.12</v>
      </c>
    </row>
    <row r="115" spans="2:9">
      <c r="B115" s="110">
        <v>38</v>
      </c>
      <c r="C115" s="110" t="s">
        <v>196</v>
      </c>
      <c r="D115" s="110">
        <v>1</v>
      </c>
      <c r="E115" s="110" t="s">
        <v>303</v>
      </c>
      <c r="F115" s="111">
        <v>0.56000000000000005</v>
      </c>
      <c r="G115" s="111">
        <v>0.21</v>
      </c>
      <c r="H115" s="111">
        <v>0.11</v>
      </c>
      <c r="I115" s="111">
        <v>0.56000000000000005</v>
      </c>
    </row>
    <row r="116" spans="2:9">
      <c r="B116" s="110">
        <v>38</v>
      </c>
      <c r="C116" s="110" t="s">
        <v>196</v>
      </c>
      <c r="D116" s="110">
        <v>2</v>
      </c>
      <c r="E116" s="110" t="s">
        <v>304</v>
      </c>
      <c r="F116" s="111">
        <v>0.41</v>
      </c>
      <c r="G116" s="111">
        <v>0.67</v>
      </c>
      <c r="H116" s="111">
        <v>0.65</v>
      </c>
      <c r="I116" s="111">
        <v>0.41</v>
      </c>
    </row>
    <row r="117" spans="2:9">
      <c r="B117" s="110">
        <v>38</v>
      </c>
      <c r="C117" s="110" t="s">
        <v>196</v>
      </c>
      <c r="D117" s="110">
        <v>3</v>
      </c>
      <c r="E117" s="110" t="s">
        <v>305</v>
      </c>
      <c r="F117" s="111">
        <v>0.03</v>
      </c>
      <c r="G117" s="111">
        <v>0.12</v>
      </c>
      <c r="H117" s="111">
        <v>0.24</v>
      </c>
      <c r="I117" s="111">
        <v>0.03</v>
      </c>
    </row>
    <row r="118" spans="2:9">
      <c r="B118" s="110">
        <v>39</v>
      </c>
      <c r="C118" s="110" t="s">
        <v>197</v>
      </c>
      <c r="D118" s="110">
        <v>1</v>
      </c>
      <c r="E118" s="110" t="s">
        <v>303</v>
      </c>
      <c r="F118" s="111">
        <v>0.45</v>
      </c>
      <c r="G118" s="111">
        <v>0.15</v>
      </c>
      <c r="H118" s="111">
        <v>0.06</v>
      </c>
      <c r="I118" s="111">
        <v>0.44</v>
      </c>
    </row>
    <row r="119" spans="2:9">
      <c r="B119" s="110">
        <v>39</v>
      </c>
      <c r="C119" s="110" t="s">
        <v>197</v>
      </c>
      <c r="D119" s="110">
        <v>2</v>
      </c>
      <c r="E119" s="110" t="s">
        <v>304</v>
      </c>
      <c r="F119" s="111">
        <v>0.5</v>
      </c>
      <c r="G119" s="111">
        <v>0.68</v>
      </c>
      <c r="H119" s="111">
        <v>0.61</v>
      </c>
      <c r="I119" s="111">
        <v>0.5</v>
      </c>
    </row>
    <row r="120" spans="2:9">
      <c r="B120" s="110">
        <v>39</v>
      </c>
      <c r="C120" s="110" t="s">
        <v>197</v>
      </c>
      <c r="D120" s="110">
        <v>3</v>
      </c>
      <c r="E120" s="110" t="s">
        <v>305</v>
      </c>
      <c r="F120" s="111">
        <v>0.05</v>
      </c>
      <c r="G120" s="111">
        <v>0.17</v>
      </c>
      <c r="H120" s="111">
        <v>0.33</v>
      </c>
      <c r="I120" s="111">
        <v>0.06</v>
      </c>
    </row>
    <row r="121" spans="2:9">
      <c r="B121" s="110">
        <v>40</v>
      </c>
      <c r="C121" s="110" t="s">
        <v>198</v>
      </c>
      <c r="D121" s="110">
        <v>1</v>
      </c>
      <c r="E121" s="110" t="s">
        <v>303</v>
      </c>
      <c r="F121" s="111">
        <v>0.49</v>
      </c>
      <c r="G121" s="111">
        <v>0.17</v>
      </c>
      <c r="H121" s="111">
        <v>7.0000000000000007E-2</v>
      </c>
      <c r="I121" s="111">
        <v>0.47</v>
      </c>
    </row>
    <row r="122" spans="2:9">
      <c r="B122" s="110">
        <v>40</v>
      </c>
      <c r="C122" s="110" t="s">
        <v>198</v>
      </c>
      <c r="D122" s="110">
        <v>2</v>
      </c>
      <c r="E122" s="110" t="s">
        <v>304</v>
      </c>
      <c r="F122" s="111">
        <v>0.47</v>
      </c>
      <c r="G122" s="111">
        <v>0.65</v>
      </c>
      <c r="H122" s="111">
        <v>0.59</v>
      </c>
      <c r="I122" s="111">
        <v>0.47</v>
      </c>
    </row>
    <row r="123" spans="2:9">
      <c r="B123" s="110">
        <v>40</v>
      </c>
      <c r="C123" s="110" t="s">
        <v>198</v>
      </c>
      <c r="D123" s="110">
        <v>3</v>
      </c>
      <c r="E123" s="110" t="s">
        <v>305</v>
      </c>
      <c r="F123" s="111">
        <v>0.04</v>
      </c>
      <c r="G123" s="111">
        <v>0.18</v>
      </c>
      <c r="H123" s="111">
        <v>0.34</v>
      </c>
      <c r="I123" s="111">
        <v>0.06</v>
      </c>
    </row>
    <row r="124" spans="2:9">
      <c r="B124" s="110">
        <v>41</v>
      </c>
      <c r="C124" s="110" t="s">
        <v>199</v>
      </c>
      <c r="D124" s="110">
        <v>1</v>
      </c>
      <c r="E124" s="110" t="s">
        <v>303</v>
      </c>
      <c r="F124" s="111">
        <v>0.44</v>
      </c>
      <c r="G124" s="111">
        <v>0.15</v>
      </c>
      <c r="H124" s="111">
        <v>0.06</v>
      </c>
      <c r="I124" s="111">
        <v>0.44</v>
      </c>
    </row>
    <row r="125" spans="2:9">
      <c r="B125" s="110">
        <v>41</v>
      </c>
      <c r="C125" s="110" t="s">
        <v>199</v>
      </c>
      <c r="D125" s="110">
        <v>2</v>
      </c>
      <c r="E125" s="110" t="s">
        <v>304</v>
      </c>
      <c r="F125" s="111">
        <v>0.53</v>
      </c>
      <c r="G125" s="111">
        <v>0.75</v>
      </c>
      <c r="H125" s="111">
        <v>0.72</v>
      </c>
      <c r="I125" s="111">
        <v>0.53</v>
      </c>
    </row>
    <row r="126" spans="2:9">
      <c r="B126" s="110">
        <v>41</v>
      </c>
      <c r="C126" s="110" t="s">
        <v>199</v>
      </c>
      <c r="D126" s="110">
        <v>3</v>
      </c>
      <c r="E126" s="110" t="s">
        <v>305</v>
      </c>
      <c r="F126" s="111">
        <v>0.03</v>
      </c>
      <c r="G126" s="111">
        <v>0.1</v>
      </c>
      <c r="H126" s="111">
        <v>0.22</v>
      </c>
      <c r="I126" s="111">
        <v>0.03</v>
      </c>
    </row>
    <row r="127" spans="2:9">
      <c r="B127" s="110">
        <v>42</v>
      </c>
      <c r="C127" s="110" t="s">
        <v>200</v>
      </c>
      <c r="D127" s="110">
        <v>1</v>
      </c>
      <c r="E127" s="110" t="s">
        <v>303</v>
      </c>
      <c r="F127" s="111">
        <v>0.44</v>
      </c>
      <c r="G127" s="111">
        <v>0.15</v>
      </c>
      <c r="H127" s="111">
        <v>0.05</v>
      </c>
      <c r="I127" s="111">
        <v>0.43</v>
      </c>
    </row>
    <row r="128" spans="2:9">
      <c r="B128" s="110">
        <v>42</v>
      </c>
      <c r="C128" s="110" t="s">
        <v>200</v>
      </c>
      <c r="D128" s="110">
        <v>2</v>
      </c>
      <c r="E128" s="110" t="s">
        <v>304</v>
      </c>
      <c r="F128" s="111">
        <v>0.51</v>
      </c>
      <c r="G128" s="111">
        <v>0.7</v>
      </c>
      <c r="H128" s="111">
        <v>0.63</v>
      </c>
      <c r="I128" s="111">
        <v>0.52</v>
      </c>
    </row>
    <row r="129" spans="2:9">
      <c r="B129" s="110">
        <v>42</v>
      </c>
      <c r="C129" s="110" t="s">
        <v>200</v>
      </c>
      <c r="D129" s="110">
        <v>3</v>
      </c>
      <c r="E129" s="110" t="s">
        <v>305</v>
      </c>
      <c r="F129" s="111">
        <v>0.05</v>
      </c>
      <c r="G129" s="111">
        <v>0.15</v>
      </c>
      <c r="H129" s="111">
        <v>0.32</v>
      </c>
      <c r="I129" s="111">
        <v>0.05</v>
      </c>
    </row>
    <row r="130" spans="2:9">
      <c r="B130" s="110">
        <v>43</v>
      </c>
      <c r="C130" s="110" t="s">
        <v>201</v>
      </c>
      <c r="D130" s="110">
        <v>1</v>
      </c>
      <c r="E130" s="110" t="s">
        <v>303</v>
      </c>
      <c r="F130" s="111">
        <v>0.5</v>
      </c>
      <c r="G130" s="111">
        <v>0.23</v>
      </c>
      <c r="H130" s="111">
        <v>0.11</v>
      </c>
      <c r="I130" s="111">
        <v>0.5</v>
      </c>
    </row>
    <row r="131" spans="2:9">
      <c r="B131" s="110">
        <v>43</v>
      </c>
      <c r="C131" s="110" t="s">
        <v>201</v>
      </c>
      <c r="D131" s="110">
        <v>2</v>
      </c>
      <c r="E131" s="110" t="s">
        <v>304</v>
      </c>
      <c r="F131" s="111">
        <v>0.49</v>
      </c>
      <c r="G131" s="111">
        <v>0.74</v>
      </c>
      <c r="H131" s="111">
        <v>0.81</v>
      </c>
      <c r="I131" s="111">
        <v>0.49</v>
      </c>
    </row>
    <row r="132" spans="2:9">
      <c r="B132" s="110">
        <v>43</v>
      </c>
      <c r="C132" s="110" t="s">
        <v>201</v>
      </c>
      <c r="D132" s="110">
        <v>3</v>
      </c>
      <c r="E132" s="110" t="s">
        <v>305</v>
      </c>
      <c r="F132" s="111">
        <v>0.01</v>
      </c>
      <c r="G132" s="111">
        <v>0.03</v>
      </c>
      <c r="H132" s="111">
        <v>0.08</v>
      </c>
      <c r="I132" s="111">
        <v>0.01</v>
      </c>
    </row>
    <row r="133" spans="2:9">
      <c r="B133" s="110">
        <v>44</v>
      </c>
      <c r="C133" s="110" t="s">
        <v>202</v>
      </c>
      <c r="D133" s="110">
        <v>1</v>
      </c>
      <c r="E133" s="110" t="s">
        <v>303</v>
      </c>
      <c r="F133" s="111">
        <v>0.56000000000000005</v>
      </c>
      <c r="G133" s="111">
        <v>0.19</v>
      </c>
      <c r="H133" s="111">
        <v>0.09</v>
      </c>
      <c r="I133" s="111">
        <v>0.56000000000000005</v>
      </c>
    </row>
    <row r="134" spans="2:9">
      <c r="B134" s="110">
        <v>44</v>
      </c>
      <c r="C134" s="110" t="s">
        <v>202</v>
      </c>
      <c r="D134" s="110">
        <v>2</v>
      </c>
      <c r="E134" s="110" t="s">
        <v>304</v>
      </c>
      <c r="F134" s="111">
        <v>0.4</v>
      </c>
      <c r="G134" s="111">
        <v>0.65</v>
      </c>
      <c r="H134" s="111">
        <v>0.57999999999999996</v>
      </c>
      <c r="I134" s="111">
        <v>0.4</v>
      </c>
    </row>
    <row r="135" spans="2:9">
      <c r="B135" s="110">
        <v>44</v>
      </c>
      <c r="C135" s="110" t="s">
        <v>202</v>
      </c>
      <c r="D135" s="110">
        <v>3</v>
      </c>
      <c r="E135" s="110" t="s">
        <v>305</v>
      </c>
      <c r="F135" s="111">
        <v>0.04</v>
      </c>
      <c r="G135" s="111">
        <v>0.16</v>
      </c>
      <c r="H135" s="111">
        <v>0.33</v>
      </c>
      <c r="I135" s="111">
        <v>0.04</v>
      </c>
    </row>
    <row r="136" spans="2:9">
      <c r="B136" s="110">
        <v>45</v>
      </c>
      <c r="C136" s="110" t="s">
        <v>203</v>
      </c>
      <c r="D136" s="110">
        <v>1</v>
      </c>
      <c r="E136" s="110" t="s">
        <v>303</v>
      </c>
      <c r="F136" s="111">
        <v>0.56999999999999995</v>
      </c>
      <c r="G136" s="111">
        <v>0.5</v>
      </c>
      <c r="H136" s="111">
        <v>0.32</v>
      </c>
      <c r="I136" s="111">
        <v>0.56999999999999995</v>
      </c>
    </row>
    <row r="137" spans="2:9">
      <c r="B137" s="110">
        <v>45</v>
      </c>
      <c r="C137" s="110" t="s">
        <v>203</v>
      </c>
      <c r="D137" s="110">
        <v>2</v>
      </c>
      <c r="E137" s="110" t="s">
        <v>304</v>
      </c>
      <c r="F137" s="111">
        <v>0.4</v>
      </c>
      <c r="G137" s="111">
        <v>0.31</v>
      </c>
      <c r="H137" s="111">
        <v>0.35</v>
      </c>
      <c r="I137" s="111">
        <v>0.35</v>
      </c>
    </row>
    <row r="138" spans="2:9">
      <c r="B138" s="110">
        <v>45</v>
      </c>
      <c r="C138" s="110" t="s">
        <v>203</v>
      </c>
      <c r="D138" s="110">
        <v>3</v>
      </c>
      <c r="E138" s="110" t="s">
        <v>305</v>
      </c>
      <c r="F138" s="111">
        <v>0.03</v>
      </c>
      <c r="G138" s="111">
        <v>0.19</v>
      </c>
      <c r="H138" s="111">
        <v>0.33</v>
      </c>
      <c r="I138" s="111">
        <v>0.08</v>
      </c>
    </row>
    <row r="139" spans="2:9">
      <c r="B139" s="110">
        <v>46</v>
      </c>
      <c r="C139" s="110" t="s">
        <v>204</v>
      </c>
      <c r="D139" s="110">
        <v>1</v>
      </c>
      <c r="E139" s="110" t="s">
        <v>303</v>
      </c>
      <c r="F139" s="111">
        <v>0.39</v>
      </c>
      <c r="G139" s="111">
        <v>0.12</v>
      </c>
      <c r="H139" s="111">
        <v>0.04</v>
      </c>
      <c r="I139" s="111">
        <v>0.39</v>
      </c>
    </row>
    <row r="140" spans="2:9">
      <c r="B140" s="110">
        <v>46</v>
      </c>
      <c r="C140" s="110" t="s">
        <v>204</v>
      </c>
      <c r="D140" s="110">
        <v>2</v>
      </c>
      <c r="E140" s="110" t="s">
        <v>304</v>
      </c>
      <c r="F140" s="111">
        <v>0.56000000000000005</v>
      </c>
      <c r="G140" s="111">
        <v>0.67</v>
      </c>
      <c r="H140" s="111">
        <v>0.59</v>
      </c>
      <c r="I140" s="111">
        <v>0.54</v>
      </c>
    </row>
    <row r="141" spans="2:9">
      <c r="B141" s="110">
        <v>46</v>
      </c>
      <c r="C141" s="110" t="s">
        <v>204</v>
      </c>
      <c r="D141" s="110">
        <v>3</v>
      </c>
      <c r="E141" s="110" t="s">
        <v>305</v>
      </c>
      <c r="F141" s="111">
        <v>0.05</v>
      </c>
      <c r="G141" s="111">
        <v>0.21</v>
      </c>
      <c r="H141" s="111">
        <v>0.37</v>
      </c>
      <c r="I141" s="111">
        <v>7.0000000000000007E-2</v>
      </c>
    </row>
    <row r="142" spans="2:9">
      <c r="B142" s="110">
        <v>47</v>
      </c>
      <c r="C142" s="110" t="s">
        <v>205</v>
      </c>
      <c r="D142" s="110">
        <v>1</v>
      </c>
      <c r="E142" s="110" t="s">
        <v>303</v>
      </c>
      <c r="F142" s="111">
        <v>0.63</v>
      </c>
      <c r="G142" s="111">
        <v>0.32</v>
      </c>
      <c r="H142" s="111">
        <v>0.19</v>
      </c>
      <c r="I142" s="111">
        <v>0.63</v>
      </c>
    </row>
    <row r="143" spans="2:9">
      <c r="B143" s="110">
        <v>47</v>
      </c>
      <c r="C143" s="110" t="s">
        <v>205</v>
      </c>
      <c r="D143" s="110">
        <v>2</v>
      </c>
      <c r="E143" s="110" t="s">
        <v>304</v>
      </c>
      <c r="F143" s="111">
        <v>0.36</v>
      </c>
      <c r="G143" s="111">
        <v>0.64</v>
      </c>
      <c r="H143" s="111">
        <v>0.74</v>
      </c>
      <c r="I143" s="111">
        <v>0.36</v>
      </c>
    </row>
    <row r="144" spans="2:9">
      <c r="B144" s="110">
        <v>47</v>
      </c>
      <c r="C144" s="110" t="s">
        <v>205</v>
      </c>
      <c r="D144" s="110">
        <v>3</v>
      </c>
      <c r="E144" s="110" t="s">
        <v>305</v>
      </c>
      <c r="F144" s="111">
        <v>0.01</v>
      </c>
      <c r="G144" s="111">
        <v>0.04</v>
      </c>
      <c r="H144" s="111">
        <v>7.0000000000000007E-2</v>
      </c>
      <c r="I144" s="111">
        <v>0.01</v>
      </c>
    </row>
    <row r="145" ht="25" customHeight="1"/>
  </sheetData>
  <phoneticPr fontId="2"/>
  <pageMargins left="0.70866141732283472" right="0.70866141732283472" top="0.74803149606299213" bottom="0.74803149606299213" header="0.31496062992125984" footer="0.31496062992125984"/>
  <pageSetup paperSize="9" scale="62" fitToHeight="2"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18</vt:i4>
      </vt:variant>
      <vt:variant>
        <vt:lpstr>名前付き一覧</vt:lpstr>
      </vt:variant>
      <vt:variant>
        <vt:i4>69</vt:i4>
      </vt:variant>
    </vt:vector>
  </HeadingPairs>
  <TitlesOfParts>
    <vt:vector size="87" baseType="lpstr">
      <vt:lpstr>ナビ</vt:lpstr>
      <vt:lpstr>1_a</vt:lpstr>
      <vt:lpstr>1_b</vt:lpstr>
      <vt:lpstr>1_c</vt:lpstr>
      <vt:lpstr>2_a</vt:lpstr>
      <vt:lpstr>2_b</vt:lpstr>
      <vt:lpstr>2_c</vt:lpstr>
      <vt:lpstr>別表4,5</vt:lpstr>
      <vt:lpstr>変更内容</vt:lpstr>
      <vt:lpstr>レートメイク</vt:lpstr>
      <vt:lpstr>販売量</vt:lpstr>
      <vt:lpstr>土地</vt:lpstr>
      <vt:lpstr>償却資産</vt:lpstr>
      <vt:lpstr>車両</vt:lpstr>
      <vt:lpstr>道路占用料</vt:lpstr>
      <vt:lpstr>標準係数A</vt:lpstr>
      <vt:lpstr>標準係数B</vt:lpstr>
      <vt:lpstr>需要構成率</vt:lpstr>
      <vt:lpstr>'別表4,5'!_Ａ</vt:lpstr>
      <vt:lpstr>'別表4,5'!_Ｂ</vt:lpstr>
      <vt:lpstr>'別表4,5'!_Ｃ</vt:lpstr>
      <vt:lpstr>'別表4,5'!_Ｄ</vt:lpstr>
      <vt:lpstr>'別表4,5'!_Ｅ</vt:lpstr>
      <vt:lpstr>'別表4,5'!_Ｆ</vt:lpstr>
      <vt:lpstr>'別表4,5'!_Ｇ</vt:lpstr>
      <vt:lpstr>'別表4,5'!_Ｈ</vt:lpstr>
      <vt:lpstr>'別表4,5'!_Hc</vt:lpstr>
      <vt:lpstr>'別表4,5'!_Hf</vt:lpstr>
      <vt:lpstr>'別表4,5'!_Hg</vt:lpstr>
      <vt:lpstr>'別表4,5'!_Ｉ</vt:lpstr>
      <vt:lpstr>'別表4,5'!_Ｊ</vt:lpstr>
      <vt:lpstr>'別表4,5'!_Ja</vt:lpstr>
      <vt:lpstr>'別表4,5'!_Jb</vt:lpstr>
      <vt:lpstr>'別表4,5'!_Jc</vt:lpstr>
      <vt:lpstr>'別表4,5'!_Jd</vt:lpstr>
      <vt:lpstr>'別表4,5'!_Je</vt:lpstr>
      <vt:lpstr>'別表4,5'!_Jf</vt:lpstr>
      <vt:lpstr>'別表4,5'!_Jg</vt:lpstr>
      <vt:lpstr>'別表4,5'!_Ｋ</vt:lpstr>
      <vt:lpstr>'別表4,5'!_Ｌ</vt:lpstr>
      <vt:lpstr>'別表4,5'!_Ｍ</vt:lpstr>
      <vt:lpstr>'別表4,5'!_Ma</vt:lpstr>
      <vt:lpstr>'別表4,5'!_Mb</vt:lpstr>
      <vt:lpstr>'別表4,5'!_Mc</vt:lpstr>
      <vt:lpstr>'別表4,5'!_Md</vt:lpstr>
      <vt:lpstr>'別表4,5'!_Me</vt:lpstr>
      <vt:lpstr>'別表4,5'!_Mf</vt:lpstr>
      <vt:lpstr>'別表4,5'!_Mg</vt:lpstr>
      <vt:lpstr>'別表4,5'!_Ｎ</vt:lpstr>
      <vt:lpstr>'別表4,5'!_Ｏ</vt:lpstr>
      <vt:lpstr>'別表4,5'!_P</vt:lpstr>
      <vt:lpstr>'別表4,5'!_PA</vt:lpstr>
      <vt:lpstr>'別表4,5'!_PB</vt:lpstr>
      <vt:lpstr>'別表4,5'!_PC</vt:lpstr>
      <vt:lpstr>'別表4,5'!_PD</vt:lpstr>
      <vt:lpstr>'別表4,5'!_PE</vt:lpstr>
      <vt:lpstr>'別表4,5'!_PF</vt:lpstr>
      <vt:lpstr>'別表4,5'!_PG</vt:lpstr>
      <vt:lpstr>'別表4,5'!_PH</vt:lpstr>
      <vt:lpstr>'別表4,5'!_PI</vt:lpstr>
      <vt:lpstr>'別表4,5'!_PP</vt:lpstr>
      <vt:lpstr>'別表4,5'!_Ｑ</vt:lpstr>
      <vt:lpstr>'別表4,5'!_V</vt:lpstr>
      <vt:lpstr>'別表4,5'!_W</vt:lpstr>
      <vt:lpstr>'別表4,5'!_Y</vt:lpstr>
      <vt:lpstr>'別表4,5'!_Z</vt:lpstr>
      <vt:lpstr>HKS</vt:lpstr>
      <vt:lpstr>KYN</vt:lpstr>
      <vt:lpstr>'1_a'!Print_Area</vt:lpstr>
      <vt:lpstr>'1_b'!Print_Area</vt:lpstr>
      <vt:lpstr>'1_c'!Print_Area</vt:lpstr>
      <vt:lpstr>'2_a'!Print_Area</vt:lpstr>
      <vt:lpstr>'2_b'!Print_Area</vt:lpstr>
      <vt:lpstr>'2_c'!Print_Area</vt:lpstr>
      <vt:lpstr>ナビ!Print_Area</vt:lpstr>
      <vt:lpstr>レートメイク!Print_Area</vt:lpstr>
      <vt:lpstr>車両!Print_Area</vt:lpstr>
      <vt:lpstr>需要構成率!Print_Area</vt:lpstr>
      <vt:lpstr>償却資産!Print_Area</vt:lpstr>
      <vt:lpstr>土地!Print_Area</vt:lpstr>
      <vt:lpstr>道路占用料!Print_Area</vt:lpstr>
      <vt:lpstr>販売量!Print_Area</vt:lpstr>
      <vt:lpstr>標準係数A!Print_Area</vt:lpstr>
      <vt:lpstr>標準係数B!Print_Area</vt:lpstr>
      <vt:lpstr>'別表4,5'!Print_Area</vt:lpstr>
      <vt:lpstr>変更内容!Print_Area</vt:lpstr>
      <vt:lpstr>需要構成率!Print_Titles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浩章 長瀬</dc:creator>
  <cp:lastModifiedBy>浩章 長瀬</cp:lastModifiedBy>
  <cp:lastPrinted>2025-11-12T23:25:25Z</cp:lastPrinted>
  <dcterms:created xsi:type="dcterms:W3CDTF">2025-10-20T01:52:40Z</dcterms:created>
  <dcterms:modified xsi:type="dcterms:W3CDTF">2026-02-02T03:07:02Z</dcterms:modified>
</cp:coreProperties>
</file>